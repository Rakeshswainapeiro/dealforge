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quirements" sheetId="2" state="visible" r:id="rId4"/>
    <sheet name="Backlog" sheetId="3" state="visible" r:id="rId5"/>
    <sheet name="Slices" sheetId="4" state="visible" r:id="rId6"/>
    <sheet name="Open Decisions" sheetId="5" state="visible" r:id="rId7"/>
  </sheets>
  <definedNames>
    <definedName function="false" hidden="true" localSheetId="2" name="_xlnm._FilterDatabase" vbProcedure="false">Backlog!$A$1:$M$72</definedName>
    <definedName function="false" hidden="true" localSheetId="1" name="_xlnm._FilterDatabase" vbProcedure="false">Requirements!$A$1:$I$89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<sst xmlns="http://schemas.openxmlformats.org/spreadsheetml/2006/main" count="1807" uniqueCount="706">
  <si>
    <t xml:space="preserve">DealForge - MVP Tracker (BRD Phase 1)</t>
  </si>
  <si>
    <t xml:space="preserve">Source: docs/DealForge_Phase1_BRD Draft.xlsx (88 requirements) | Baseline: main @ 064caee | Date: 26 Sep 2026</t>
  </si>
  <si>
    <t xml:space="preserve">Status is evidence-based on code in server/ and src/. Counts are live formulas over Requirements and Backlog.</t>
  </si>
  <si>
    <t xml:space="preserve">Requirements by status</t>
  </si>
  <si>
    <t xml:space="preserve">Status</t>
  </si>
  <si>
    <t xml:space="preserve">Count</t>
  </si>
  <si>
    <t xml:space="preserve">% of all</t>
  </si>
  <si>
    <t xml:space="preserve">Built</t>
  </si>
  <si>
    <t xml:space="preserve">Partial</t>
  </si>
  <si>
    <t xml:space="preserve">Gap</t>
  </si>
  <si>
    <t xml:space="preserve">Deferred</t>
  </si>
  <si>
    <t xml:space="preserve">Process</t>
  </si>
  <si>
    <t xml:space="preserve">Total</t>
  </si>
  <si>
    <t xml:space="preserve">Requirements by priority</t>
  </si>
  <si>
    <t xml:space="preserve">Priority</t>
  </si>
  <si>
    <t xml:space="preserve">Must</t>
  </si>
  <si>
    <t xml:space="preserve">Should</t>
  </si>
  <si>
    <t xml:space="preserve">Could</t>
  </si>
  <si>
    <t xml:space="preserve">Backlog by workstream</t>
  </si>
  <si>
    <t xml:space="preserve">Workstream</t>
  </si>
  <si>
    <t xml:space="preserve">TODOs</t>
  </si>
  <si>
    <t xml:space="preserve">Effort (d, est)</t>
  </si>
  <si>
    <t xml:space="preserve">W1 Intake</t>
  </si>
  <si>
    <t xml:space="preserve">W2 Financials</t>
  </si>
  <si>
    <t xml:space="preserve">W3 Screening</t>
  </si>
  <si>
    <t xml:space="preserve">W4 Entity</t>
  </si>
  <si>
    <t xml:space="preserve">W5 Documents</t>
  </si>
  <si>
    <t xml:space="preserve">W6 Governance</t>
  </si>
  <si>
    <t xml:space="preserve">W7 Reporting</t>
  </si>
  <si>
    <t xml:space="preserve">W8 Platform</t>
  </si>
  <si>
    <t xml:space="preserve">W9 NFR/Release</t>
  </si>
  <si>
    <t xml:space="preserve">Slices</t>
  </si>
  <si>
    <t xml:space="preserve">S0</t>
  </si>
  <si>
    <t xml:space="preserve">W0</t>
  </si>
  <si>
    <t xml:space="preserve">Reconcile &amp; freeze</t>
  </si>
  <si>
    <t xml:space="preserve">S1</t>
  </si>
  <si>
    <t xml:space="preserve">W1-W3</t>
  </si>
  <si>
    <t xml:space="preserve">Intake governance</t>
  </si>
  <si>
    <t xml:space="preserve">S2</t>
  </si>
  <si>
    <t xml:space="preserve">W3-W6</t>
  </si>
  <si>
    <t xml:space="preserve">Financials &amp; returns</t>
  </si>
  <si>
    <t xml:space="preserve">S3</t>
  </si>
  <si>
    <t xml:space="preserve">W5-W8</t>
  </si>
  <si>
    <t xml:space="preserve">Screening &amp; scorecard</t>
  </si>
  <si>
    <t xml:space="preserve">S4</t>
  </si>
  <si>
    <t xml:space="preserve">W6-W8</t>
  </si>
  <si>
    <t xml:space="preserve">Entity, docs &amp; templates</t>
  </si>
  <si>
    <t xml:space="preserve">S5</t>
  </si>
  <si>
    <t xml:space="preserve">W8-W10</t>
  </si>
  <si>
    <t xml:space="preserve">Governance &amp; audit hardening</t>
  </si>
  <si>
    <t xml:space="preserve">S6</t>
  </si>
  <si>
    <t xml:space="preserve">W9-W11</t>
  </si>
  <si>
    <t xml:space="preserve">Reporting &amp; output</t>
  </si>
  <si>
    <t xml:space="preserve">S7</t>
  </si>
  <si>
    <t xml:space="preserve">W10-W12</t>
  </si>
  <si>
    <t xml:space="preserve">Platform, auth &amp; config</t>
  </si>
  <si>
    <t xml:space="preserve">S8</t>
  </si>
  <si>
    <t xml:space="preserve">W12-W13</t>
  </si>
  <si>
    <t xml:space="preserve">Hardening &amp; NFR</t>
  </si>
  <si>
    <t xml:space="preserve">S9</t>
  </si>
  <si>
    <t xml:space="preserve">W13-W14</t>
  </si>
  <si>
    <t xml:space="preserve">UAT &amp; sign-off</t>
  </si>
  <si>
    <t xml:space="preserve">S10</t>
  </si>
  <si>
    <t xml:space="preserve">W14-W15</t>
  </si>
  <si>
    <t xml:space="preserve">Pilot rollout</t>
  </si>
  <si>
    <t xml:space="preserve">Backlog by status</t>
  </si>
  <si>
    <t xml:space="preserve">% of backlog</t>
  </si>
  <si>
    <t xml:space="preserve">Not started</t>
  </si>
  <si>
    <t xml:space="preserve">In progress</t>
  </si>
  <si>
    <t xml:space="preserve">Blocked</t>
  </si>
  <si>
    <t xml:space="preserve">Done</t>
  </si>
  <si>
    <t xml:space="preserve">Req ID</t>
  </si>
  <si>
    <t xml:space="preserve">Module</t>
  </si>
  <si>
    <t xml:space="preserve">Requirement</t>
  </si>
  <si>
    <t xml:space="preserve">Phase</t>
  </si>
  <si>
    <t xml:space="preserve">Mapped TODO</t>
  </si>
  <si>
    <t xml:space="preserve">Evidence / Gap</t>
  </si>
  <si>
    <t xml:space="preserve">PLT-01</t>
  </si>
  <si>
    <t xml:space="preserve">Platform &amp; Access</t>
  </si>
  <si>
    <t xml:space="preserve">Multi-organisation hierarchy</t>
  </si>
  <si>
    <t xml:space="preserve">Phase 1</t>
  </si>
  <si>
    <t xml:space="preserve">Platform</t>
  </si>
  <si>
    <t xml:space="preserve">server/org.js, orgApi.js, GroupStructure.jsx; tests m1</t>
  </si>
  <si>
    <t xml:space="preserve">PLT-02</t>
  </si>
  <si>
    <t xml:space="preserve">Entity-based data isolation</t>
  </si>
  <si>
    <t xml:space="preserve">server/abac.js (CROSS_ORG_READ_ROLES, canRead); m1/m5</t>
  </si>
  <si>
    <t xml:space="preserve">PLT-03</t>
  </si>
  <si>
    <t xml:space="preserve">Role-based access control</t>
  </si>
  <si>
    <t xml:space="preserve">server/rbac.js (14 roles, ACTION_ROLES)</t>
  </si>
  <si>
    <t xml:space="preserve">PLT-04</t>
  </si>
  <si>
    <t xml:space="preserve">Single sign-on + MFA</t>
  </si>
  <si>
    <t xml:space="preserve">W8-01</t>
  </si>
  <si>
    <t xml:space="preserve">SSO (OIDC/SAML) + MFA; local accounts for externals. See Backlog W8-01. Evidence: docs/evidence/W8-01/</t>
  </si>
  <si>
    <t xml:space="preserve">PLT-05</t>
  </si>
  <si>
    <t xml:space="preserve">User administration</t>
  </si>
  <si>
    <t xml:space="preserve">W8-06</t>
  </si>
  <si>
    <t xml:space="preserve">User administration hardening: deactivation is immediate (inactive/banned accounts resolve to no actor and lose their live sessions) and every lifecycle action is named and audited (server/config/userAdmin.js + server/users.js + server/admin.js + SuperAdmin.jsx). Evidence: docs/evidence/W8-06/</t>
  </si>
  <si>
    <t xml:space="preserve">PLT-06</t>
  </si>
  <si>
    <t xml:space="preserve">Bilingual-ready interface</t>
  </si>
  <si>
    <t xml:space="preserve">W8-02</t>
  </si>
  <si>
    <t xml:space="preserve">i18n completion: all core UI strings externalised; RTL demonstrated on Dashboard. See Backlog W8-02. Evidence: docs/evidence/W8-02/</t>
  </si>
  <si>
    <t xml:space="preserve">ENT-01</t>
  </si>
  <si>
    <t xml:space="preserve">Entity &amp; Strategy Library</t>
  </si>
  <si>
    <t xml:space="preserve">Entity strategy profile</t>
  </si>
  <si>
    <t xml:space="preserve">W4-03</t>
  </si>
  <si>
    <t xml:space="preserve">server/strategy.js screening_record profile version; docs/evidence/W4-03/</t>
  </si>
  <si>
    <t xml:space="preserve">ENT-02</t>
  </si>
  <si>
    <t xml:space="preserve">Strategy document upload</t>
  </si>
  <si>
    <t xml:space="preserve">W4-02</t>
  </si>
  <si>
    <t xml:space="preserve">server/strategy.js indexing + citation; docs/evidence/W4-02/</t>
  </si>
  <si>
    <t xml:space="preserve">ENT-03</t>
  </si>
  <si>
    <t xml:space="preserve">Sirius group mandate</t>
  </si>
  <si>
    <t xml:space="preserve">W4-04</t>
  </si>
  <si>
    <t xml:space="preserve">server/config/siriusMandate.js + server/mandate.js (versioned group mandate); docs/evidence/W4-04/</t>
  </si>
  <si>
    <t xml:space="preserve">ENT-04</t>
  </si>
  <si>
    <t xml:space="preserve">Portfolio register</t>
  </si>
  <si>
    <t xml:space="preserve">W4-01</t>
  </si>
  <si>
    <t xml:space="preserve">docs/evidence/W4-01/</t>
  </si>
  <si>
    <t xml:space="preserve">INT-01</t>
  </si>
  <si>
    <t xml:space="preserve">Opportunity Intake</t>
  </si>
  <si>
    <t xml:space="preserve">Single controlled intake channel</t>
  </si>
  <si>
    <t xml:space="preserve">SubmitOpportunity.jsx, pipeline.js</t>
  </si>
  <si>
    <t xml:space="preserve">INT-02</t>
  </si>
  <si>
    <t xml:space="preserve">Self-screen before drafting</t>
  </si>
  <si>
    <t xml:space="preserve">W1-01</t>
  </si>
  <si>
    <t xml:space="preserve">server/config/selfScreen.js six-question screen + evaluateSelfScreen; gate.js POST /api/gate/self-screen and submit 422 block; SubmitOpportunity.jsx pre-form step with stop messages; selfscreen.test.js (12 pass). Evidence: docs/evidence/W1-01/</t>
  </si>
  <si>
    <t xml:space="preserve">INT-03</t>
  </si>
  <si>
    <t xml:space="preserve">Below-floor exception route</t>
  </si>
  <si>
    <t xml:space="preserve">W1-02</t>
  </si>
  <si>
    <t xml:space="preserve">server/config/belowFloor.js evaluateBelowFloor (synergy + IRR&gt;=35% + Sirius escalation) folded into selfScreen.js and gate.js; submit 422 block, below-floor tag persisted and escalated (notify deliver:false), pipeline_transition comment; SubmitOpportunity.jsx route alerts; belowFloor.test.js (6 pass), m2.test.js W1-02 (3 pass). Evidence: docs/evidence/W1-02/</t>
  </si>
  <si>
    <t xml:space="preserve">INT-04</t>
  </si>
  <si>
    <t xml:space="preserve">Opportunity type classification</t>
  </si>
  <si>
    <t xml:space="preserve">opportunity_type in OPPORTUNITY_FIELDS (gate.js)</t>
  </si>
  <si>
    <t xml:space="preserve">INT-05</t>
  </si>
  <si>
    <t xml:space="preserve">Sourcing channel</t>
  </si>
  <si>
    <t xml:space="preserve">W1-08</t>
  </si>
  <si>
    <t xml:space="preserve">server/config/sourcingChannel.js side-effects (mandatory channel; IHC/affiliate auto related-party flag; banker/advisor compressed-timeline indicator); gate.js sourcing_channel in evaluateGate + /fields + submit 422 block and persistence; siriusMemo sourcing key fact + side-effects note; SubmitOpportunity.jsx alerts; sourcingChannel.test.js (8 pass), m2.test.js W1-08 (5 pass); evidence docs/evidence/W1-08</t>
  </si>
  <si>
    <t xml:space="preserve">INT-06</t>
  </si>
  <si>
    <t xml:space="preserve">Structured Opportunity Overview form (6 sections)</t>
  </si>
  <si>
    <t xml:space="preserve">W1-03</t>
  </si>
  <si>
    <t xml:space="preserve">server/config/intakeConfig.js six-section model; gate.js GET /api/gate/fields; SubmitOpportunity.jsx renders model; intake.test.js</t>
  </si>
  <si>
    <t xml:space="preserve">INT-07</t>
  </si>
  <si>
    <t xml:space="preserve">Accretion Statement</t>
  </si>
  <si>
    <t xml:space="preserve">W1-04</t>
  </si>
  <si>
    <t xml:space="preserve">accretion fields in intakeConfig.js; rendered in memo (siriusMemoDocx.js); intake.test.js</t>
  </si>
  <si>
    <t xml:space="preserve">INT-08</t>
  </si>
  <si>
    <t xml:space="preserve">Qualifying gates checklist (10 gates)</t>
  </si>
  <si>
    <t xml:space="preserve">W1-05</t>
  </si>
  <si>
    <t xml:space="preserve">10-gate checklist in server/config/qualifyingGates.js; blocking 422 on any No in server/gate.js submit route; SubmitOpportunity.jsx qualifying-gates card; qualifyingGates.test.js; evidence docs/evidence/W1-05</t>
  </si>
  <si>
    <t xml:space="preserve">INT-09</t>
  </si>
  <si>
    <t xml:space="preserve">CEO and CFO attestation</t>
  </si>
  <si>
    <t xml:space="preserve">W1-06</t>
  </si>
  <si>
    <t xml:space="preserve">server/config/attestations.js (ceo/cfo + subsidiary role specs, configurable attestation_text setting); gate.js loadAttestationTexts/evaluateGate attestations + POST /opportunities/:id/attestations/:key + submit 422 block (attestation_recorded / submit_blocked audits); SubmitOpportunity.jsx attestation card; attestations.test.js (8 pass), m2.test.js W1-06 (4 pass); evidence docs/evidence/W1-06</t>
  </si>
  <si>
    <t xml:space="preserve">INT-10</t>
  </si>
  <si>
    <t xml:space="preserve">Greenfield extra tests</t>
  </si>
  <si>
    <t xml:space="preserve">W1-07</t>
  </si>
  <si>
    <t xml:space="preserve">server/config/greenfield.js extra tests (stage Concept/Feasibility/Initiate, quantified benefit, thesis, budget, secured funding source; Concept capped at a 2-page note); gate.js greenfield in evaluateGate (Concept waives the full pack) + submit 422 block (greenfield_stops audit); SubmitOpportunity.jsx alerts; greenfield.test.js (9 pass), m2.test.js W1-07 (4 pass); evidence docs/evidence/W1-07</t>
  </si>
  <si>
    <t xml:space="preserve">INT-11</t>
  </si>
  <si>
    <t xml:space="preserve">Related-party disclosure</t>
  </si>
  <si>
    <t xml:space="preserve">relatedParty.js flag + independent reviewer routing</t>
  </si>
  <si>
    <t xml:space="preserve">INT-12</t>
  </si>
  <si>
    <t xml:space="preserve">Duplicate detection</t>
  </si>
  <si>
    <t xml:space="preserve">W1-10</t>
  </si>
  <si>
    <t xml:space="preserve">duplicates.js + config/duplicates.js cross-group match warning with link/dismiss decisions in duplicate_review, Investment-Team-only (403 for the preparer, subsidiary isolation preserved); duplicates.test.js (8 pass), m3.test.js W1-10 (3 pass); evidence docs/evidence/W1-10</t>
  </si>
  <si>
    <t xml:space="preserve">INT-13</t>
  </si>
  <si>
    <t xml:space="preserve">Withdraw submission</t>
  </si>
  <si>
    <t xml:space="preserve">W1-09</t>
  </si>
  <si>
    <t xml:space="preserve">pipeline.js withdrawn state + reason-required withdraw transition retained in pipeline_transition history and on the opportunity (withdrawn_reason/withdrawn_at); board Withdrawn column; m3.test.js W1-09 (4 pass); evidence docs/evidence/W1-09</t>
  </si>
  <si>
    <t xml:space="preserve">DOC-01</t>
  </si>
  <si>
    <t xml:space="preserve">Documents &amp; Completeness</t>
  </si>
  <si>
    <t xml:space="preserve">Document checklist by type/stage/flags</t>
  </si>
  <si>
    <t xml:space="preserve">W5-01</t>
  </si>
  <si>
    <t xml:space="preserve">docs/evidence/W5-01/</t>
  </si>
  <si>
    <t xml:space="preserve">DOC-02</t>
  </si>
  <si>
    <t xml:space="preserve">Document upload and storage</t>
  </si>
  <si>
    <t xml:space="preserve">W5-02</t>
  </si>
  <si>
    <t xml:space="preserve">docs/evidence/W5-02/</t>
  </si>
  <si>
    <t xml:space="preserve">DOC-03</t>
  </si>
  <si>
    <t xml:space="preserve">Mandatory-document gate</t>
  </si>
  <si>
    <t xml:space="preserve">evaluateGate, SUBMITTABLE_STATES; tests m2</t>
  </si>
  <si>
    <t xml:space="preserve">DOC-04</t>
  </si>
  <si>
    <t xml:space="preserve">Content sufficiency check</t>
  </si>
  <si>
    <t xml:space="preserve">W5-03</t>
  </si>
  <si>
    <t xml:space="preserve">docs/evidence/W5-03/</t>
  </si>
  <si>
    <t xml:space="preserve">DOC-05</t>
  </si>
  <si>
    <t xml:space="preserve">Data-point to source mapping</t>
  </si>
  <si>
    <t xml:space="preserve">W5-04</t>
  </si>
  <si>
    <t xml:space="preserve">docs/evidence/W5-04/</t>
  </si>
  <si>
    <t xml:space="preserve">DOC-06</t>
  </si>
  <si>
    <t xml:space="preserve">Document templates</t>
  </si>
  <si>
    <t xml:space="preserve">W5-05</t>
  </si>
  <si>
    <t xml:space="preserve">docs/evidence/W5-05/</t>
  </si>
  <si>
    <t xml:space="preserve">FIN-01</t>
  </si>
  <si>
    <t xml:space="preserve">Financials &amp; Returns</t>
  </si>
  <si>
    <t xml:space="preserve">Financial summary capture (FY-3 to Y+5)</t>
  </si>
  <si>
    <t xml:space="preserve">W2-01</t>
  </si>
  <si>
    <t xml:space="preserve">server/config/financials.js 8-row x 8-period Part B p.4 matrix with derived growth %/EBITDA margin %/FCF/net debt-EBITDA; SubmitOpportunity.jsx editable grid; siriusMemo.js + SiriusMemoDialog finTable; new-venture actuals optional. Evidence: docs/evidence/W2-01/</t>
  </si>
  <si>
    <t xml:space="preserve">FIN-02</t>
  </si>
  <si>
    <t xml:space="preserve">Three-statement model upload and check</t>
  </si>
  <si>
    <t xml:space="preserve">W2-02</t>
  </si>
  <si>
    <t xml:space="preserve">server/config/statementModel.js parses the linked three-statement model (CSV/TSV/JSON, dependency-free) and checks presence of P&amp;L + balance sheet + cash flow and the per-period balance-sheet equality (tolerance env-configurable). Registration on the mandatory financials upload; server/gate.js persists statement_model + audit; advisory flags (non-template / unbalanced / missing) never block a submission. SubmitOpportunity.jsx 4b advisory card; sample fixtures carry balanced, projections-only and unbalanced models. Evidence: docs/evidence/W2-02/</t>
  </si>
  <si>
    <t xml:space="preserve">FIN-03</t>
  </si>
  <si>
    <t xml:space="preserve">Return metrics under three scenarios</t>
  </si>
  <si>
    <t xml:space="preserve">W2-03</t>
  </si>
  <si>
    <t xml:space="preserve">server/config/returnMetrics.js captures Equity IRR, ROIC and payback for base/upside/downside (all mandatory) and MOIC where relevant; evaluateReturnMetrics flags a missing downside and open cells without blocking. server/gate.js return_metrics on evaluateGate + returns config on GET /api/gate/fields; siriusMemo.js fills the page-4 returns table from the flat fields; SubmitOpportunity.jsx 4c advisory card. Evidence: docs/evidence/W2-03/</t>
  </si>
  <si>
    <t xml:space="preserve">FIN-04</t>
  </si>
  <si>
    <t xml:space="preserve">Automatic hurdle test</t>
  </si>
  <si>
    <t xml:space="preserve">W2-04</t>
  </si>
  <si>
    <t xml:space="preserve">server/config/hurdleTable.js evaluates every hurdle per captured scenario (Equity IRR &gt;= 20%/greenfield 25%, ROIC &gt;= WACC+5%, payback &lt;= 3.5yrs, concentration &lt;= 35%, leverage &lt;= 3x) with a version stamp (HURDLE_TABLE_VERSION); thresholds come from mandate_threshold so an admin change moves the verdicts. server/gate.js hurdle_table on evaluateGate + GET /api/gate/fields; GET /api/themes/hurdles exposes the org policy; siriusMemo.js prints the live thresholds, per-scenario Meets? and a policy note; SubmitOpportunity.jsx 4e advisory card. Evidence: docs/evidence/W2-04/</t>
  </si>
  <si>
    <t xml:space="preserve">FIN-05</t>
  </si>
  <si>
    <t xml:space="preserve">WACC input</t>
  </si>
  <si>
    <t xml:space="preserve">W2-05</t>
  </si>
  <si>
    <t xml:space="preserve">server/config/wacc.js resolves the effective WACC (entity default from mandate_threshold.wacc_pct, env-overridable shipped default, or a reasoned per-opportunity override); an override without a reason is flagged override_valid:false and never applied silently. server/gate.js wacc on evaluateGate + config on GET /api/gate/fields; ThemeAdmin sets the entity WACC; SubmitOpportunity.jsx 4d card. Evidence: docs/evidence/W2-05/</t>
  </si>
  <si>
    <t xml:space="preserve">FIN-06</t>
  </si>
  <si>
    <t xml:space="preserve">Financial sources and uses</t>
  </si>
  <si>
    <t xml:space="preserve">W2-06</t>
  </si>
  <si>
    <t xml:space="preserve">server/config/sourcesUses.js captures each source (internal accruals, subsidiary debt, partner / co-investor, Sirius capital) with amount, % of total and status (secured/committed/indicative) and each use (purchase price, transaction costs, working capital, contingency); sources must equal uses (within a configurable tolerance) and Sirius capital is warned when drawn ahead of cheaper sources. server/gate.js sources_uses + GET /api/gate/fields; siriusMemo.js funding tables + balance note; SubmitOpportunity.jsx 5a card. Evidence: docs/evidence/W2-06/</t>
  </si>
  <si>
    <t xml:space="preserve">FIN-07</t>
  </si>
  <si>
    <t xml:space="preserve">Budget status</t>
  </si>
  <si>
    <t xml:space="preserve">W2-07</t>
  </si>
  <si>
    <t xml:space="preserve">server/config/budgetStatus.js confirms whether the opportunity is in the approved budget; off-budget requires a variance justification and makes a variance-memo upload (budget_confirmation) mandatory before submission, while an in-budget line reference is advisory. server/gate.js budget_status + submit-route block; siriusMemo.js budget note; SubmitOpportunity.jsx 5b card. Evidence: docs/evidence/W2-07/</t>
  </si>
  <si>
    <t xml:space="preserve">FIN-08</t>
  </si>
  <si>
    <t xml:space="preserve">Cross-border considerations</t>
  </si>
  <si>
    <t xml:space="preserve">W2-09</t>
  </si>
  <si>
    <t xml:space="preserve">server/config/crossBorder.js captures FX exposure, withholding tax, transfer pricing and repatriation restrictions for cross-border deals; the block applies only when the target geography names a different country from the owning subsidiary’s registered geography (canonicalCountry / isCrossBorder via GEOGRAPHY_TAGS), so a domestic deal is never asked. server/gate.js cross_border + GET /api/gate/fields; siriusMemo.js conditional Cross-border considerations table; SubmitOpportunity.jsx 4c card. Evidence: docs/evidence/W2-09/</t>
  </si>
  <si>
    <t xml:space="preserve">FIN-09</t>
  </si>
  <si>
    <t xml:space="preserve">Entry valuation and exit</t>
  </si>
  <si>
    <t xml:space="preserve">W2-08</t>
  </si>
  <si>
    <t xml:space="preserve">server/config/valuation.js captures the entry valuation as structured fields (EV / equity basis, amount, multiple, method) with a 3-5 name comparable set (nested valuation_comparables) and the exit / value-realisation route, timing and target multiple; a partial capture raises advisory flags (missing basis/method, comparable set below 3 or above 5, exit route without timing) and never blocks. server/gate.js valuation + GET /api/gate/fields; siriusMemo.js prints the comparable table and the entry/exit notes; SubmitOpportunity.jsx 4b card. Evidence: docs/evidence/W2-08/</t>
  </si>
  <si>
    <t xml:space="preserve">FIN-10</t>
  </si>
  <si>
    <t xml:space="preserve">Deeper investment analytics</t>
  </si>
  <si>
    <t xml:space="preserve">Later phase</t>
  </si>
  <si>
    <t xml:space="preserve">BRD = Later phase</t>
  </si>
  <si>
    <t xml:space="preserve">SCR-01</t>
  </si>
  <si>
    <t xml:space="preserve">Screening &amp; Alignment</t>
  </si>
  <si>
    <t xml:space="preserve">Automated initial screening panel</t>
  </si>
  <si>
    <t xml:space="preserve">W3-01</t>
  </si>
  <si>
    <t xml:space="preserve">Single screening panel (W3-01): server/config/screeningPanel.js + GET /api/pipeline/opportunities/:id/screening renders all six checks (eligibility, hard filters, hurdle tests, alignment, synergy &amp; conflict, completeness) with result, rationale and evidence refs on ScreeningBoard; evidence in docs/evidence/W3-01/</t>
  </si>
  <si>
    <t xml:space="preserve">SCR-02</t>
  </si>
  <si>
    <t xml:space="preserve">Strategy and theme alignment check</t>
  </si>
  <si>
    <t xml:space="preserve">W3-13</t>
  </si>
  <si>
    <t xml:space="preserve">docs/evidence/W3-13/</t>
  </si>
  <si>
    <t xml:space="preserve">SCR-03</t>
  </si>
  <si>
    <t xml:space="preserve">Gate 1 hard filters</t>
  </si>
  <si>
    <t xml:space="preserve">W3-02</t>
  </si>
  <si>
    <t xml:space="preserve">Gate 1 hard filters (W3-02): server/config/hardFilters.js evaluates the five Standing filters and raises Recommended decline with the reason; a reviewer with write access confirms or overrides with a written reason (audited), the screening panel check is a hard block on failure, and the capture form carries the six manual confirmations; evidence in docs/evidence/W3-02/</t>
  </si>
  <si>
    <t xml:space="preserve">SCR-04</t>
  </si>
  <si>
    <t xml:space="preserve">Gate 1 soft filters (1-5 scored)</t>
  </si>
  <si>
    <t xml:space="preserve">W3-03</t>
  </si>
  <si>
    <t xml:space="preserve">Gate 1 soft filters (W3-03): server/config/softFilters.js scores the three soft filters 1-5 with a proposed score and rationale; a reviewer with write access confirms or adjusts every score with a reason (&gt;=10 chars, audited), the scores roll up into a Strong/Moderate/Weak outcome and ride along on the screening panel without ever becoming a fail; evidence in docs/evidence/W3-03/</t>
  </si>
  <si>
    <t xml:space="preserve">SCR-05</t>
  </si>
  <si>
    <t xml:space="preserve">Automatic disqualifier flags</t>
  </si>
  <si>
    <t xml:space="preserve">W3-04</t>
  </si>
  <si>
    <t xml:space="preserve">W3-04 docs/evidence/W3-04/</t>
  </si>
  <si>
    <t xml:space="preserve">SCR-06</t>
  </si>
  <si>
    <t xml:space="preserve">Synergy identification</t>
  </si>
  <si>
    <t xml:space="preserve">W3-11</t>
  </si>
  <si>
    <t xml:space="preserve">docs/evidence/W3-11/</t>
  </si>
  <si>
    <t xml:space="preserve">SCR-07</t>
  </si>
  <si>
    <t xml:space="preserve">Portfolio conflict and concentration check</t>
  </si>
  <si>
    <t xml:space="preserve">W3-10</t>
  </si>
  <si>
    <t xml:space="preserve">docs/evidence/W3-10/</t>
  </si>
  <si>
    <t xml:space="preserve">SCR-08</t>
  </si>
  <si>
    <t xml:space="preserve">Sanctions and adverse media screening</t>
  </si>
  <si>
    <t xml:space="preserve">W3-12</t>
  </si>
  <si>
    <t xml:space="preserve">docs/evidence/W3-12/</t>
  </si>
  <si>
    <t xml:space="preserve">SCR-09</t>
  </si>
  <si>
    <t xml:space="preserve">Human-in-the-loop principle</t>
  </si>
  <si>
    <t xml:space="preserve">workflows.js requires named actor</t>
  </si>
  <si>
    <t xml:space="preserve">SCO-01</t>
  </si>
  <si>
    <t xml:space="preserve">Scorecard</t>
  </si>
  <si>
    <t xml:space="preserve">Pre-screening quality score (0-100%)</t>
  </si>
  <si>
    <t xml:space="preserve">W3-09</t>
  </si>
  <si>
    <t xml:space="preserve">docs/evidence/W3-09/</t>
  </si>
  <si>
    <t xml:space="preserve">SCO-02</t>
  </si>
  <si>
    <t xml:space="preserve">Weighted 1-5 scorecard</t>
  </si>
  <si>
    <t xml:space="preserve">W3-05</t>
  </si>
  <si>
    <t xml:space="preserve">W3-05 docs/evidence/W3-05/</t>
  </si>
  <si>
    <t xml:space="preserve">SCO-03</t>
  </si>
  <si>
    <t xml:space="preserve">System-proposed scores</t>
  </si>
  <si>
    <t xml:space="preserve">W3-07</t>
  </si>
  <si>
    <t xml:space="preserve">docs/evidence/W3-07/</t>
  </si>
  <si>
    <t xml:space="preserve">SCO-04</t>
  </si>
  <si>
    <t xml:space="preserve">Two-lens floor</t>
  </si>
  <si>
    <t xml:space="preserve">W3-06</t>
  </si>
  <si>
    <t xml:space="preserve">docs/evidence/W3-06/</t>
  </si>
  <si>
    <t xml:space="preserve">SCO-05</t>
  </si>
  <si>
    <t xml:space="preserve">Scorecard configuration</t>
  </si>
  <si>
    <t xml:space="preserve">W3-08</t>
  </si>
  <si>
    <t xml:space="preserve">docs/evidence/W3-08/</t>
  </si>
  <si>
    <t xml:space="preserve">WF-01</t>
  </si>
  <si>
    <t xml:space="preserve">Workflow &amp; Decisions</t>
  </si>
  <si>
    <t xml:space="preserve">Phase 1 workflow states</t>
  </si>
  <si>
    <t xml:space="preserve">PIPELINE_STATES/TRANSITIONS (pipeline.js)</t>
  </si>
  <si>
    <t xml:space="preserve">WF-02</t>
  </si>
  <si>
    <t xml:space="preserve">Named owner and SLA</t>
  </si>
  <si>
    <t xml:space="preserve">DEFAULT_SLA, owner, breach flag; m3/m4</t>
  </si>
  <si>
    <t xml:space="preserve">WF-03</t>
  </si>
  <si>
    <t xml:space="preserve">Reviewer routing</t>
  </si>
  <si>
    <t xml:space="preserve">workflows.js route/queue; ScreeningBoard.jsx</t>
  </si>
  <si>
    <t xml:space="preserve">WF-04</t>
  </si>
  <si>
    <t xml:space="preserve">Built-in Q&amp;A thread</t>
  </si>
  <si>
    <t xml:space="preserve">qa.js threads/messages; tests m4</t>
  </si>
  <si>
    <t xml:space="preserve">WF-05</t>
  </si>
  <si>
    <t xml:space="preserve">Review comments and decision reasons</t>
  </si>
  <si>
    <t xml:space="preserve">W6-01</t>
  </si>
  <si>
    <t xml:space="preserve">docs/evidence/W6-01/</t>
  </si>
  <si>
    <t xml:space="preserve">WF-06</t>
  </si>
  <si>
    <t xml:space="preserve">Related-party governance overlay</t>
  </si>
  <si>
    <t xml:space="preserve">W6-03</t>
  </si>
  <si>
    <t xml:space="preserve">docs/evidence/W6-03/</t>
  </si>
  <si>
    <t xml:space="preserve">WF-07</t>
  </si>
  <si>
    <t xml:space="preserve">Subsidiary presentation scheduling</t>
  </si>
  <si>
    <t xml:space="preserve">W6-06</t>
  </si>
  <si>
    <t xml:space="preserve">Presentation scheduling captured on the opportunity record: date, attendees, status, format, outcome and next steps. Policy in AppSettings (presentation_session_config) with admin-edited revisions; org-scoped management (subsidiary owns its own, cross-org roles manage any); every create/update audited. Evidence: docs/evidence/W6-06/</t>
  </si>
  <si>
    <t xml:space="preserve">WF-08</t>
  </si>
  <si>
    <t xml:space="preserve">Delegation of Authority routing (Gate 1)</t>
  </si>
  <si>
    <t xml:space="preserve">W6-02</t>
  </si>
  <si>
    <t xml:space="preserve">docs/evidence/W6-02/</t>
  </si>
  <si>
    <t xml:space="preserve">WF-09</t>
  </si>
  <si>
    <t xml:space="preserve">Full four-gate approval workflow</t>
  </si>
  <si>
    <t xml:space="preserve">BRD = Later phase (Phase 2)</t>
  </si>
  <si>
    <t xml:space="preserve">OUT-01</t>
  </si>
  <si>
    <t xml:space="preserve">Screening Output</t>
  </si>
  <si>
    <t xml:space="preserve">Initial Screening Memo</t>
  </si>
  <si>
    <t xml:space="preserve">siriusMemo.js, siriusMemoDocx.js, SiriusMemoDialog.jsx</t>
  </si>
  <si>
    <t xml:space="preserve">OUT-02</t>
  </si>
  <si>
    <t xml:space="preserve">Opportunity Overview pack export</t>
  </si>
  <si>
    <t xml:space="preserve">W7-04</t>
  </si>
  <si>
    <t xml:space="preserve">server/memoPack.js + config/memoPack.js; six-page Part B pack (print-ready HTML + Markdown) with in_template_order manifest; export button behind MemoPack flag; tests memoPack (12) + m6 (6)</t>
  </si>
  <si>
    <t xml:space="preserve">OUT-03</t>
  </si>
  <si>
    <t xml:space="preserve">QR verification on outputs</t>
  </si>
  <si>
    <t xml:space="preserve">W7-05</t>
  </si>
  <si>
    <t xml:space="preserve">server/memoVerification.js + config/memoVerification.js; signed QR (HMAC over id|version|hash|issued_at) binds exported memo to record version + sha256 content fingerprint; public /verify recomputes live hash, tampered QR/record fails; QR embedded in .docx footer; tests memoVerification (12) + m6 (7)</t>
  </si>
  <si>
    <t xml:space="preserve">OUT-04</t>
  </si>
  <si>
    <t xml:space="preserve">Investment memo auto-generation</t>
  </si>
  <si>
    <t xml:space="preserve">BRD = Later phase (Phase 3)</t>
  </si>
  <si>
    <t xml:space="preserve">DSH-01</t>
  </si>
  <si>
    <t xml:space="preserve">Dashboards &amp; Reporting</t>
  </si>
  <si>
    <t xml:space="preserve">Investment Team pipeline dashboard</t>
  </si>
  <si>
    <t xml:space="preserve">W7-02</t>
  </si>
  <si>
    <t xml:space="preserve">server/pipelineDashboard.js + config/pipelineDashboard.js; src/pages/PipelineDashboard.jsx; filter set + drill-down; tests pipelineDashboard+m6</t>
  </si>
  <si>
    <t xml:space="preserve">DSH-02</t>
  </si>
  <si>
    <t xml:space="preserve">Subsidiary dashboard</t>
  </si>
  <si>
    <t xml:space="preserve">my-opportunities, Dashboard.jsx, org-scoped</t>
  </si>
  <si>
    <t xml:space="preserve">DSH-03</t>
  </si>
  <si>
    <t xml:space="preserve">IHC weekly report</t>
  </si>
  <si>
    <t xml:space="preserve">W7-01</t>
  </si>
  <si>
    <t xml:space="preserve">server/reporting.js + config/reporting.js; src/pages/Reporting.jsx; Excel/CSV export; tests reporting+m6</t>
  </si>
  <si>
    <t xml:space="preserve">DSH-04</t>
  </si>
  <si>
    <t xml:space="preserve">Funnel and cycle-time metrics</t>
  </si>
  <si>
    <t xml:space="preserve">W7-03</t>
  </si>
  <si>
    <t xml:space="preserve">server/pipelineMetrics.js + config/pipelineMetrics.js; src/pages/PipelineMetrics.jsx; funnel + cycle time vs SLA + decline reasons; tests pipelineMetrics+m6</t>
  </si>
  <si>
    <t xml:space="preserve">DSH-05</t>
  </si>
  <si>
    <t xml:space="preserve">Post-investment tracking</t>
  </si>
  <si>
    <t xml:space="preserve">BRD = Later phase (Phase 4)</t>
  </si>
  <si>
    <t xml:space="preserve">AUD-01</t>
  </si>
  <si>
    <t xml:space="preserve">Audit Trail</t>
  </si>
  <si>
    <t xml:space="preserve">Immutable audit log</t>
  </si>
  <si>
    <t xml:space="preserve">W6-05</t>
  </si>
  <si>
    <t xml:space="preserve">Append-only audit_event (no-update trigger) plus a SHA-256 hash chain: each row stores prev_hash + a canonical hash of its fields, verifiable from genesis. writeAudit serialises chain appends under an advisory lock; POST /api/audit-chain/verify recomputes the chain end to end (admin-only, audited). Evidence: docs/evidence/W6-05/</t>
  </si>
  <si>
    <t xml:space="preserve">AUD-02</t>
  </si>
  <si>
    <t xml:space="preserve">Opportunity timeline</t>
  </si>
  <si>
    <t xml:space="preserve">listAuditEvents, timeline; tests m1</t>
  </si>
  <si>
    <t xml:space="preserve">AUD-03</t>
  </si>
  <si>
    <t xml:space="preserve">Internal vs shared comments</t>
  </si>
  <si>
    <t xml:space="preserve">W6-04</t>
  </si>
  <si>
    <t xml:space="preserve">Server-side visibility flag on qa_thread/qa_message; internal comments filtered from every read + notification for subsidiary-only users; no unit-test hits for the old internalComment name because visibility is carried on the row and enforced in qa.js. Evidence: docs/evidence/W6-04/</t>
  </si>
  <si>
    <t xml:space="preserve">NTF-01</t>
  </si>
  <si>
    <t xml:space="preserve">Notifications</t>
  </si>
  <si>
    <t xml:space="preserve">Event notifications</t>
  </si>
  <si>
    <t xml:space="preserve">W6-07</t>
  </si>
  <si>
    <t xml:space="preserve">User-selectable notification email frequency (immediate or daily digest). Policy in AppSettings (notification_frequency_config) with an admin-edited revision; the choice is per-user on app_user; the delivery path defers email for a digest user and /digest composes only that user’s own rows, so entity isolation is preserved. Evidence: docs/evidence/W6-07/</t>
  </si>
  <si>
    <t xml:space="preserve">ADM-01</t>
  </si>
  <si>
    <t xml:space="preserve">Configuration &amp; Admin</t>
  </si>
  <si>
    <t xml:space="preserve">Configurable rules</t>
  </si>
  <si>
    <t xml:space="preserve">W8-03</t>
  </si>
  <si>
    <t xml:space="preserve">W8-03: unified admin config registry over 23 areas (7 groups); versioned (21) + audited (23); admin-only read/governance over the immutable audit trail; edits still flow through each area router so acceptance 'admin edits versioned + audited; applies only to new screenings'. Evidence: docs/evidence/W8-03/</t>
  </si>
  <si>
    <t xml:space="preserve">ADM-02</t>
  </si>
  <si>
    <t xml:space="preserve">Sector-specific variants</t>
  </si>
  <si>
    <t xml:space="preserve">INTG-01</t>
  </si>
  <si>
    <t xml:space="preserve">Integration</t>
  </si>
  <si>
    <t xml:space="preserve">Virtual data room integration</t>
  </si>
  <si>
    <t xml:space="preserve">W8-04</t>
  </si>
  <si>
    <t xml:space="preserve">Folder link stored on the opportunity record (server/config/dataroomLink.js + pipeline routes + ScreeningBoard detail panel). evidence: docs/evidence/W8-04/</t>
  </si>
  <si>
    <t xml:space="preserve">INTG-02</t>
  </si>
  <si>
    <t xml:space="preserve">Existing systems review</t>
  </si>
  <si>
    <t xml:space="preserve">W9-08</t>
  </si>
  <si>
    <t xml:space="preserve">discovery/documentation task</t>
  </si>
  <si>
    <t xml:space="preserve">INTG-03</t>
  </si>
  <si>
    <t xml:space="preserve">Bulk import of in-flight opportunities</t>
  </si>
  <si>
    <t xml:space="preserve">W8-05</t>
  </si>
  <si>
    <t xml:space="preserve">One-off bulk import of in-flight opportunities from the tracker spreadsheet with a validation report that names each row that cannot be loaded and why (server/config/bulkImport.js + server/xlsxRead.js + server/bulkImport.js routes + Settings Bulk Import tab). Evidence: docs/evidence/W8-05/</t>
  </si>
  <si>
    <t xml:space="preserve">NFR-01</t>
  </si>
  <si>
    <t xml:space="preserve">Non-functional</t>
  </si>
  <si>
    <t xml:space="preserve">Data residency and hosting</t>
  </si>
  <si>
    <t xml:space="preserve">W9-03</t>
  </si>
  <si>
    <t xml:space="preserve">Platform residency posture implemented and inspectable (server/config/residency.js + GET /api/health + Settings AI Governance panel; server/tests/residency.test.js 7 pass). Remaining item is the external UAE sovereign-hosting sign-off, a Sirius IT/security process activity recorded as an open go-live dependency (W9-02 control uae_data_residency). Blocked on that sign-off. Evidence: docs/evidence/W9-03/</t>
  </si>
  <si>
    <t xml:space="preserve">NFR-02</t>
  </si>
  <si>
    <t xml:space="preserve">Security</t>
  </si>
  <si>
    <t xml:space="preserve">W9-02</t>
  </si>
  <si>
    <t xml:space="preserve">Security review and dependency advisory scan (NFR-02). server/config/securityPosture.js records the 13-control catalog and the accepted go-live scan; scripts/security_scan.mjs runs the server-runtime/production/full-tree audits, node --check over server/*.js and an injection-sink grep, exits non-zero on any open critical/high; npm audit fix cleared all critical/high (server runtime tree is 0 advisories). GET /api/ai-governance returns the posture and the AI Governance settings tab renders the gate, summary and control register. External go-live dependencies: independent pen test and UAE residency (W9-03). Evidence: docs/evidence/W9-02/</t>
  </si>
  <si>
    <t xml:space="preserve">NFR-03</t>
  </si>
  <si>
    <t xml:space="preserve">AI governance</t>
  </si>
  <si>
    <t xml:space="preserve">W9-01</t>
  </si>
  <si>
    <t xml:space="preserve">server/config/aiGovernance.js owns the AI governance policy (prompt/response logging, email + secret redaction, AI-output labelling, provider approval, retention) and the provider register; server/aiGovernance.js exposes /api/ai-governance (policy + label + approval summary; admin PUT audited as entity ai_governance) plus the admin governed-call log; the LLM call path refuses an unapproved provider before the outbound call and logs a redacted, attributed row; src/components/shared/AIOutputBadge.jsx labels model output. Evidence: docs/evidence/W9-01/</t>
  </si>
  <si>
    <t xml:space="preserve">NFR-04</t>
  </si>
  <si>
    <t xml:space="preserve">Performance</t>
  </si>
  <si>
    <t xml:space="preserve">W9-04</t>
  </si>
  <si>
    <t xml:space="preserve">Performance SIT (NFR-04). scripts/performance_sit.mjs measures P50/P95/max latency for the pipeline board, pipeline dashboard, funnel metrics, weekly reporting, portfolio register and a live screening panel, and exits non-zero when any endpoint misses the P95 budget or breaches the hard ceiling. server/config/performance.js holds the targets (P95 page budget 3000 ms, screening SLA 15 min) and the percentile/verdict helpers (unit-tested). Measured on 16,610 opportunity records: every endpoint P95 &lt;= 44 ms, far inside the 3000 ms budget. Evidence: docs/evidence/W9-04/</t>
  </si>
  <si>
    <t xml:space="preserve">NFR-05</t>
  </si>
  <si>
    <t xml:space="preserve">Availability and backup</t>
  </si>
  <si>
    <t xml:space="preserve">W9-05</t>
  </si>
  <si>
    <t xml:space="preserve">Backup/restore rehearsal (NFR-05). scripts/backup_restore_rehearsal.mjs drives a real pg_dump + scratch-database restore against the running container and reconciles the entity_record and audit_event counts; it exits non-zero on a count mismatch or an over-RTO restore. server/config/backupRestore.js holds the RPO 24h / RTO 8h gate (unit-tested). Rehearsal result: 37 MB dump, counts match exactly (16610 entity_record / 106098 audit_event), restore in ~5s vs the 8h RTO target. RUNBOOK.md documents the schedule and retention. Evidence: docs/evidence/W9-05/</t>
  </si>
  <si>
    <t xml:space="preserve">NFR-06</t>
  </si>
  <si>
    <t xml:space="preserve">Browser and device support</t>
  </si>
  <si>
    <t xml:space="preserve">W9-06</t>
  </si>
  <si>
    <t xml:space="preserve">Browser/device SIT (NFR-06). scripts/browser_sit.mjs drives the Dashboard, Deal Pipeline, Screening Board and Settings journeys through real Playwright browsers at desktop and tablet profiles and fails on a render or page error. server/config/browserSupport.js holds the support matrix and gate (unit-tested). Chrome/Edge (Chromium desktop) and tablet PASS; Safari / WebKit is not installable in this environment and is recorded as an external gap, not claimed as tested. Evidence: docs/evidence/W9-06/</t>
  </si>
  <si>
    <t xml:space="preserve">NFR-07</t>
  </si>
  <si>
    <t xml:space="preserve">Usability</t>
  </si>
  <si>
    <t xml:space="preserve">W9-07</t>
  </si>
  <si>
    <t xml:space="preserve">Guided six-section form, self-screen header seeding and save-as-draft exist (W1 evidence); no unaided-submission evidence yet. Usability gate + scorer implemented (server/config/usability.js, scripts/usability_uat.mjs, 8 unit tests) but the row stays Partial until a pilot UAT session is recorded. Blocked on pilot availability. See docs/evidence/W9-07/.</t>
  </si>
  <si>
    <t xml:space="preserve">NFR-08</t>
  </si>
  <si>
    <t xml:space="preserve">Currency and units</t>
  </si>
  <si>
    <t xml:space="preserve">W2-10</t>
  </si>
  <si>
    <t xml:space="preserve">server/config/currency.js labels every financial figure with a currency and unit (AED mn base, USD mn where the mandate works in USD) and records the per-opportunity FX rate (AED per USD) so figures are reproducible against the base; the page-4 matrix, the on-screen memo and the exported DOCX all carry the label. server/gate.js currency + GET /api/gate/fields; SubmitOpportunity.jsx Reporting currency &amp; FX rate card. Evidence: docs/evidence/W2-10/</t>
  </si>
  <si>
    <t xml:space="preserve">TODO ID</t>
  </si>
  <si>
    <t xml:space="preserve">Title</t>
  </si>
  <si>
    <t xml:space="preserve">BRD Req(s)</t>
  </si>
  <si>
    <t xml:space="preserve">Size</t>
  </si>
  <si>
    <t xml:space="preserve">Slice</t>
  </si>
  <si>
    <t xml:space="preserve">Depends on</t>
  </si>
  <si>
    <t xml:space="preserve">Owner</t>
  </si>
  <si>
    <t xml:space="preserve">Acceptance criteria</t>
  </si>
  <si>
    <t xml:space="preserve">Effort (d)</t>
  </si>
  <si>
    <t xml:space="preserve">Evidence</t>
  </si>
  <si>
    <t xml:space="preserve">Pre-form self-screen step (type, commitment, sector, geography, in-plan, related party) with stop messages</t>
  </si>
  <si>
    <t xml:space="preserve">M</t>
  </si>
  <si>
    <t xml:space="preserve">Intake squad</t>
  </si>
  <si>
    <t xml:space="preserve">Out-of-appetite types stop with reason; commitment &lt; AED 10mn stops unless exception chosen</t>
  </si>
  <si>
    <t xml:space="preserve">code: server/config/selfScreen.js (six questions + evaluateSelfScreen, configured stops/flags/messages); server/gate.js GET /api/gate/fields self_screen, POST /api/gate/self-screen, submit blocked 422 + submit_blocked audit; src/pages/SubmitOpportunity.jsx pre-form self-screen step with locked capture form; src/api/client.js gate.selfScreen. test: server/tests/selfscreen.test.js (12 pass); server/tests/m2.test.js W1-01 gate block (18 pass). Evidence: docs/evidence/W1-01/preparer_self_screen_stop.png, docs/evidence/W1-01/preparer_self_screen_pass.png</t>
  </si>
  <si>
    <t xml:space="preserve">Below-floor exception route (synergy statement + IRR &gt;= 35%), tagged and Sirius-escalated</t>
  </si>
  <si>
    <t xml:space="preserve">Exception requires both fields; case cannot close at subsidiary level</t>
  </si>
  <si>
    <t xml:space="preserve">code: server/config/belowFloor.js (BELOW_FLOOR_TAG/FIELDS/MESSAGES, BELOW_FLOOR_ESCALATION to Sirius, isBelowFloor, evaluateBelowFloor); selfScreen.js folds below_floor into the pre-form result; gate.js evaluateGate below_floor + submit 422 block (submit_blocked audit) + tagging (below_floor_exception/tag/escalated/escalated_at), pipeline_transition comment and notify below_floor_escalation to deal.lead@sirius.local; intakeConfig.js below_floor_synergy_case field; SubmitOpportunity.jsx below-floor-route / below-floor-tagged alerts; mvpSeed.js seed-below-floor + seed-below-floor-incomplete fixtures. test: server/tests/belowFloor.test.js (6 pass); server/tests/m2.test.js W1-02 route (3 pass, 21 total); full suite 177 pass. Evidence: docs/evidence/W1-02/preparer_below_floor_tagged.png, preparer_below_floor_route_incomplete.png, preparer_below_floor_submit_blocked.png</t>
  </si>
  <si>
    <t xml:space="preserve">Extend OPPORTUNITY_FIELDS to the six Opportunity Overview sections with per-section progress</t>
  </si>
  <si>
    <t xml:space="preserve">L</t>
  </si>
  <si>
    <t xml:space="preserve">All six sections in fixed order; completion indicator per section; save-as-draft</t>
  </si>
  <si>
    <t xml:space="preserve">code: server/config/intakeConfig.js (6 sections, ~50 fields); server/gate.js OPPORTUNITY_FIELDS + GET /api/gate/fields; src/pages/SubmitOpportunity.jsx renders the model with per-section completion indicators (fixed group.key lookup). test: server/tests/intake.test.js (9 pass); commit 064caee. Evidence: docs/evidence/W1-03/preparer_six_section_form.png</t>
  </si>
  <si>
    <t xml:space="preserve">Accretion Statement structured mandatory fields</t>
  </si>
  <si>
    <t xml:space="preserve">S</t>
  </si>
  <si>
    <t xml:space="preserve">Fields mandatory; rendered in screening memo</t>
  </si>
  <si>
    <t xml:space="preserve">code: intakeConfig.js accretion fields + OVERVIEW_SECTIONS.accretion; rendered in memo (server/siriusMemoDocx.js); test: server/tests/intake.test.js accretion case; commit 064caee. Evidence: docs/evidence/W1-04/preparer_accretion_statement.png</t>
  </si>
  <si>
    <t xml:space="preserve">Ten qualifying gates checklist, each Yes + evidence link, blocking submission on any No</t>
  </si>
  <si>
    <t xml:space="preserve">No blocks submission; evidence link required per gate</t>
  </si>
  <si>
    <t xml:space="preserve">code: server/config/qualifyingGates.js (10 BRD-ordered gates, evaluateQualifyingGates, gateAnswerKey); server/gate.js qualifying_gates in evaluateGate + /fields + submit-route 422 block (QUALIFYING_GATE_NOT_READY); UI http://.../ submit form qualifying-gates card with per-gate Yes/No + evidence ticks; test: server/tests/qualifyingGates.test.js (7); seed fixture seed-qualifying-no; Evidence: docs/evidence/W1-05/preparer_qualifying_gates_all_ready.png, preparer_qualifying_gate_no_blocked.png, preparer_qualifying_gate_submit_blocked.png</t>
  </si>
  <si>
    <t xml:space="preserve">CEO + CFO attestation gate (two named attestations, timestamp + IP, configurable text)</t>
  </si>
  <si>
    <t xml:space="preserve">Submission impossible until both recorded; each on audit log</t>
  </si>
  <si>
    <t xml:space="preserve">code: server/config/attestations.js (ATTESTATION_ROLES ceo/cfo + subsidiary variants, configurable ATTESTATION_SETTING_KEY='attestation_text' with DEFAULT_ATTESTATION_TEXTS, pure evaluateAttestations requiring by+at per role, attestationDefaults seed helper); server/gate.js loadAttestationTexts() reads AppSettings attestation_text, evaluateGate returns attestations, GET /api/gate/fields exposes attestations[], new POST /api/opportunities/:id/attestations/:key (role-authorized + canWriteOrg, draft/returned only, stores by/name/role/at/ip/text, audit attestation_recorded), submit route 422 block with ATTESTATION_REQUIRED_MESSAGE + submit_blocked audit; src/pages/SubmitOpportunity.jsx CEO &amp; CFO attestation card with per-role signing; src/api/client.js gate.attest; mvpSeed.js fullFields attestations + seed-attestation-missing fixture (13 total). test: server/tests/attestations.test.js (8 pass); server/tests/m2.test.js W1-06 (4 pass, 25 total); full suite 198 pass; seedCleanup 5 pass. Evidence: docs/evidence/W1-06/preparer_attestations_all_ready.png, preparer_attestation_one_signed.png, preparer_attestation_submit_blocked.png</t>
  </si>
  <si>
    <t xml:space="preserve">Greenfield extra tests (benefit/why-now, budget status, secured funding, stage Concept/Feasibility/Initiate)</t>
  </si>
  <si>
    <t xml:space="preserve">Greenfield without secured funding blocked; Concept allows 2-page concept note only</t>
  </si>
  <si>
    <t xml:space="preserve">code: server/config/greenfield.js (GREENFIELD_STAGES Concept/Feasibility/Initiate, GREENFIELD_FIELDS greenfield_stage/benefit/secured_funding_source, GREENFIELD_THESIS_FIELDS, CONCEPT_NOTE_MAX_PAGES=2, pure evaluateGreenfield requiring stage + benefit + thesis + budget + a named SECURED source, greenfieldDefaults); server/config/intakeConfig.js greenfield_stage/benefit/secured_funding_source fields; server/gate.js evaluateGate greenfield (waives the document pack at Concept) + GET /api/gate/fields greenfield stages + submit-route 422 block (GREENFIELD_NOT_READY, submit_blocked audit); src/pages/SubmitOpportunity.jsx greenfield-tests / greenfield-tests-ready alerts; mvpSeed.js seed-greenfield (Concept, cleared) + seed-greenfield-unfunded (Feasibility, blocked), 14 fixtures. test: server/tests/greenfield.test.js (9 pass); server/tests/m2.test.js W1-07 (4 pass, 29 total); full suite 211 pass; seedCleanup 5 pass. Evidence: docs/evidence/W1-07/preparer_greenfield_tests_incomplete.png, preparer_greenfield_tests_ready.png, preparer_greenfield_submit_blocked.png</t>
  </si>
  <si>
    <t xml:space="preserve">Sourcing-channel side-effects: IHC/affiliate auto related-party flag; banker-led compressed-timeline indicator</t>
  </si>
  <si>
    <t xml:space="preserve">Flags auto-set and shown on every screen/output</t>
  </si>
  <si>
    <t xml:space="preserve">code: server/config/sourcingChannel.js (SOURCING_CHANNEL_FIELD, COMPRESSED_TIMELINE_CHANNEL/COMPRESSED_TIMELINE_TAG, RELATED_PARTY_TAG, pure evaluateSourcingChannel - mandatory channel, IHC/affiliate auto related-party flag via related_by_default, banker/advisor compressed-timeline indicator); server/gate.js sourcing_channel in evaluateGate + GET /api/gate/fields channels, submit 422 block on a missing/unrecognised channel, submit persists sourcing_tags + related_party_auto_flag + compressed_timeline; server/config/siriusMemo.js 'Sourcing channel' key fact + 'Sourcing side-effects' note; src/pages/SubmitOpportunity.jsx sourcing-channel-effects / sourcing-channel-required alerts; mvpSeed.js seed-banker-led fixture, 15 fixtures. test: server/tests/sourcingChannel.test.js (8 pass); server/tests/m2.test.js W1-08 (5 pass, 34 total); full suite 224 pass. Evidence: docs/evidence/W1-08/preparer_sourcing_affiliate_related_party.png, preparer_sourcing_banker_compressed_timeline.png</t>
  </si>
  <si>
    <t xml:space="preserve">Withdraw submission with reason; retained in history</t>
  </si>
  <si>
    <t xml:space="preserve">Withdrawn visible in history with reason</t>
  </si>
  <si>
    <t xml:space="preserve">code: server/pipeline.js withdrawn state (TRANSITIONS submission/returned to withdrawn), transition() requires a reason and records withdrawn_reason/withdrawn_at/withdrawn_by, opportunityToCard exposes withdrawn_reason + can_withdraw, board adds a Withdrawn column and my-opportunities excludes withdrawn from open; src/pages/ScreeningBoard.jsx Withdrawn column, reason-required dialog, withdraw offered only where can_withdraw. test: server/tests/m3.test.js W1-09 (4 pass). Evidence: docs/evidence/W1-09/preparer_withdraw_reason_dialog.png, preparer_withdrawn_in_history.png</t>
  </si>
  <si>
    <t xml:space="preserve">Duplicate detection warning to Investment Team (link/dismiss)</t>
  </si>
  <si>
    <t xml:space="preserve">Warns Investment Team only; subsidiary isolation preserved</t>
  </si>
  <si>
    <t xml:space="preserve">code: server/config/duplicates.js pure findDuplicates/compareOpportunities (same target/counterparty or similar name); server/duplicates.js /api/duplicates routes (Investment-Team-only) with duplicate_review link/dismiss, db.js duplicate_review table; pipeline.js board attaches duplicate_warning for cross-org readers only; src/api/client.js duplicates API; ScreeningBoard.jsx duplicate panel with link/dismiss; mvpSeed.js seed-duplicate-finstreet fixture. test: server/tests/duplicates.test.js (8 pass); server/tests/m3.test.js W1-10 (3 pass). Evidence: docs/evidence/W1-10/analyst_duplicate_warning.png, analyst_duplicate_dismissed.png</t>
  </si>
  <si>
    <t xml:space="preserve">Financial summary table FY-3..FY-1 + Y1-Y5 with derived ratios</t>
  </si>
  <si>
    <t xml:space="preserve">Financials squad</t>
  </si>
  <si>
    <t xml:space="preserve">Matches Part B p.4 layout; ratios auto-calculated; new ventures may leave actuals blank</t>
  </si>
  <si>
    <t xml:space="preserve">code: server/config/financials.js (FINANCIAL_PERIODS/ROWS, deriveFinancials, evaluateFinancials, isNewVenture); server/config/siriusMemo.js finTable from deriveFinancials; server/gate.js expose financials + evaluate on GET /api/gate/fields; src/pages/SubmitOpportunity.jsx financial grid (data-testid=financial-grid, fin-&lt;row&gt;-&lt;period&gt;); src/components/pipeline/SiriusMemoDialog.jsx memo-fin-table; mvpSeed.js seed-inf-vision matrix + greenfieldFinancials() for seed-greenfield. test: server/tests/financials.test.js (12 pass); siriusMemo.test.js finTable. Evidence: docs/evidence/W2-01/preparer_financial_summary_grid.png, preparer_financial_greenfield_blank_actuals.png, analyst_memo_financial_summary.png</t>
  </si>
  <si>
    <t xml:space="preserve">Three-statement model upload + presence/balance check</t>
  </si>
  <si>
    <t xml:space="preserve">Missing statement / unbalanced BS raises flag; non-template flagged for manual review</t>
  </si>
  <si>
    <t xml:space="preserve">code: server/config/statementModel.js (THREE_STATEMENTS, BALANCE_SHEET_TOTALS, BALANCE_TOLERANCE_PCT, parseStatementModel, evaluateStatementModel, statementTemplateCsv); server/gate.js parse financials upload -&gt; persist statement_model + statement_model_parsed audit + evaluateGate/GET /api/gate/fields; src/pages/SubmitOpportunity.jsx advisory 4b card (data-testid=statement-model-card, statement-model-status, statement-model-&lt;key&gt;, statement-model-balance, statement-model-flag/ok); server/config/mvpSeed.js balanced/greenfield/unbalanced models on fixtures. test: server/tests/statementModel.test.js (13 pass); server/tests/m2.test.js FIN-02 cases (template complete, unbalanced accepted+flagged, non-template accepted+flagged, parse audited). Evidence: docs/evidence/W2-02/preparer_statement_model_balanced.png, preparer_statement_model_greenfield.png, preparer_statement_model_flagged_unbalanced.png</t>
  </si>
  <si>
    <t xml:space="preserve">Return metrics equity IRR, ROIC, payback, MOIC for base/upside/downside</t>
  </si>
  <si>
    <t xml:space="preserve">All three scenarios mandatory; downside required</t>
  </si>
  <si>
    <t xml:space="preserve">code: server/config/returnMetrics.js (RETURN_SCENARIOS base/upside/downside, RETURN_METRICS equity_irr/roic/payback required + moic where-relevant, returnsFromFlatFields, evaluateReturnMetrics); server/config/intakeConfig.js flat capture fields (none required); server/gate.js evaluateGate return_metrics + GET /api/gate/fields returns config; server/config/siriusMemo.js resolveReturns + MOIC hurdle row; src/pages/SubmitOpportunity.jsx advisory 4c card (data-testid=returns-scenarios-card, returns-scenarios-status, returns-row-&lt;metric&gt;, returns-cell-&lt;metric&gt;-&lt;scenario&gt;, returns-scenarios-downside, returns-scenarios-flag/ok); SiriusMemoDialog.jsx memo-returns-table; server/config/mvpSeed.js complete set on full-pack fixtures + base-only on seed-below-floor. test: server/tests/returnMetrics.test.js (8 pass); server/tests/m2.test.js FIN-03 cases (config, complete, downside-missing); siriusMemo.test.js flat-field case. Evidence: docs/evidence/W2-03/preparer_returns_three_scenarios.png, preparer_returns_downside_missing.png, analyst_memo_returns_scenarios.png</t>
  </si>
  <si>
    <t xml:space="preserve">Automatic hurdle table per scenario, admin-configurable + versioned</t>
  </si>
  <si>
    <t xml:space="preserve">W2-03, W2-05</t>
  </si>
  <si>
    <t xml:space="preserve">Meets/Does-not-meet per hurdle per scenario; values versioned</t>
  </si>
  <si>
    <t xml:space="preserve">code: server/config/hurdleTable.js (HURDLE_TABLE_VERSION, HURDLE_META/HURDLE_DEFAULTS, hurdleThresholds resolving ROIC to WACC+spread, computeHurdles per-scenario with deal-level concentration/leverage, advisory below_hurdle/no_threshold flags); server/themes.js merges HURDLE_DEFAULTS into DEFAULT_THRESHOLDS + getHurdlePolicy + GET /api/themes/hurdles; server/gate.js hurdle_table on evaluateGate + versioned rows on GET /api/gate/fields; server/config/siriusMemo.js live thresholds + per-scenario Meets? + policy-version note in the page-4 returns table; src/pages/SubmitOpportunity.jsx advisory 4e card (data-testid=hurdle-table-card, hurdle-table-status, hurdle-row-&lt;k&gt;, hurdle-threshold-&lt;k&gt;, hurdle-cell-&lt;k&gt;-&lt;s&gt;, hurdle-passrate-&lt;s&gt;, hurdle-table-version, hurdle-table-flag/ok); leverage derived from a captured net-debt line via deriveFinancials. test: server/tests/hurdleTable.test.js (12 pass); server/tests/m2.test.js FIN-04 cases (config versioned, per-scenario verdicts, deal-level constants, below-hurdle flag, org policy); siriusMemo.test.js memo hurdle cases. Evidence: docs/evidence/W2-04/preparer_hurdle_table_per_scenario.png, preparer_hurdle_table_all_met.png, analyst_memo_hurdle_table.png</t>
  </si>
  <si>
    <t xml:space="preserve">WACC input per entity (Sirius-set) + per-opportunity override with reason</t>
  </si>
  <si>
    <t xml:space="preserve">Default by entity; override requires reason</t>
  </si>
  <si>
    <t xml:space="preserve">code: server/config/wacc.js (WACC_DEFAULT_PCT env-overridable, WACC_OVERRIDE_FIELD/REASON_FIELD, WACC_OVERRIDE_REASON_MESSAGE, resolveWacc -&gt; effective_wacc/source(entity_default|opportunity_override|system_default)/override_valid, meetsWaccSpread); server/db.js mandate_threshold.wacc_pct ALTER; server/themes.js DEFAULT_THRESHOLDS + getThresholds + upsertThresholds carry wacc_pct; server/gate.js resolveWacc on evaluateGate + wacc config on GET /api/gate/fields; server/config/intakeConfig.js wacc_override_pct + wacc_override_reason (not required); src/pages/ThemeAdmin.jsx Entity WACC threshold field; src/pages/SubmitOpportunity.jsx advisory 4d card (data-testid=wacc-card, wacc-status, wacc-effective, wacc-source, wacc-roic-summary, wacc-override-reason, wacc-flag); server/mvpSeed.js per-org entity WACC (Infinia 9, Finstreet 8.5, Sirius 7.5) merged onto operator thresholds; server/config/mvpSeed.js reasoned override on seed-theme-exception + reasonless override on seed-conflict. test: server/tests/wacc.test.js (7 pass); server/tests/m2.test.js FIN-05 cases (config, entity-default inheritance, reasoned override, reasonless flagged). Evidence: docs/evidence/W2-05/preparer_wacc_entity_default.png, preparer_wacc_override_with_reason.png, preparer_wacc_override_missing_reason.png</t>
  </si>
  <si>
    <t xml:space="preserve">Sources and uses table with status, sources = uses validation, funding-hierarchy warning</t>
  </si>
  <si>
    <t xml:space="preserve">Sources must equal uses; warning when Sirius capital used ahead of cheaper sources</t>
  </si>
  <si>
    <t xml:space="preserve">code: server/config/sourcesUses.js (FUNDING_STATUSES secured/committed/indicative, SOURCE_ROWS subsidiary_accruals/subsidiary_debt/partner_co_investor/sirius_capital, USE_ROWS purchase_price/transaction_costs/working_capital/contingency, BALANCE_TOLERANCE_PCT env-overridable, evaluateSourcesUses -&gt; rows with aed/%/status, totals, difference, balanced, sirius_ask_aed, hierarchy {order,violation,ahead_of}, flags [sources_not_uses|funding_hierarchy|invalid_status]); server/gate.js sources_uses on evaluateGate + config on GET /api/gate/fields; server/config/siriusMemo.js funding tables built from the plan (source row with AED mn/%/status + totals, uses + total, balance note); src/pages/SubmitOpportunity.jsx 5a card (data-testid=sources-uses-card, sources-uses-status, source-row-&lt;k&gt;, source-aed-&lt;k&gt;, source-pct-&lt;k&gt;, source-status-&lt;k&gt;, use-row-&lt;k&gt;, use-aed-&lt;k&gt;, sources-uses-total-sources, sources-uses-total-uses, sources-uses-difference, sources-uses-flag, sources-uses-hierarchy-flag, sources-uses-ok); SiriusMemoDialog.jsx memo-funding-tables. test: server/tests/sourcesUses.test.js (10 pass); server/tests/m2.test.js FIN-06 cases (config, balanced, imbalanced flag, hierarchy flag, cheaper-secured-first no flag). Evidence: docs/evidence/W2-06/preparer_sources_uses_balanced.png, preparer_sources_uses_hierarchy_flag.png, analyst_memo_sources_uses.png</t>
  </si>
  <si>
    <t xml:space="preserve">Budget status with variance-memo enforcement on No</t>
  </si>
  <si>
    <t xml:space="preserve">No makes variance memo upload mandatory</t>
  </si>
  <si>
    <t xml:space="preserve">code: server/config/budgetStatus.js (BUDGET_FIELDS in_approved_budget/budget_status/budget_line_reference/variance_justification, VARIANCE_MEMO_KEY=budget_confirmation, BUDGET_STATUS_VALUES in_budget/variance_justified, evaluateBudgetStatus -&gt; applies/answered/in_budget/off_budget/budget_status/line_reference/justification/variance_memo_required/variance_memo_present/satisfied, stops [budget_answer_required|variance_justification_required|variance_memo_required], flags [budget_line_missing]); server/gate.js budget_status on evaluateGate + off-budget variance memo pushed into missing + config on GET /api/gate/fields + submit-route 422 submit_blocked block; server/config/intakeConfig.js budget_line_reference + variance_justification (not required); server/config/siriusMemo.js budget note from the same evaluation; src/pages/SubmitOpportunity.jsx 5b card (data-testid=budget-status-card, budget-status-badge, budget-line-reference, budget-variance, budget-variance-memo, budget-status-flag, budget-status-line-flag, budget-status-ok). test: server/tests/budgetStatus.test.js (8 pass); server/tests/m2.test.js FIN-07 cases (config, in-budget satisfied, off-budget blocked + missing memo, off-budget satisfied with justification + memo). Evidence: docs/evidence/W2-07/preparer_budget_status_in_budget.png, preparer_budget_status_off_budget.png, analyst_memo_budget_status.png</t>
  </si>
  <si>
    <t xml:space="preserve">Entry valuation &amp; exit structured fields (EV, multiple, method, 3-5 comps, exit route)</t>
  </si>
  <si>
    <t xml:space="preserve">Structured capture; comps 3-5</t>
  </si>
  <si>
    <t xml:space="preserve">code: server/config/valuation.js (VALUATION_BASIS ev/equity, VALUATION_METHODS trading_comps/precedent_transactions/dcf/asset_based/other, COMPARABLE_MIN=3/COMPARABLE_MAX=5, VALUATION_FIELDS basis/amount/multiple/method/comparables/exit_route/exit_timing/exit_multiple, evaluateValuation -&gt; entry {amount,basis,basis_valid,multiple,method,method_valid,present,complete}, comparables[], comparable_count, comparables_ok, exit {route,timing,multiple,present,complete}, captured, complete, flags [entry_amount_missing|entry_basis_missing|entry_method_missing|comps_incomplete|comps_too_many|exit_incomplete], message); server/config/intakeConfig.js entry_valuation_basis + entry_valuation_method (selects) + exit_multiple (number), none required; server/gate.js valuation on evaluateGate + config on GET /api/gate/fields; server/config/siriusMemo.js Entry valuation &amp; comparable set table (padded to &gt;=3 rows) + entry-basis and exit notes; src/pages/SubmitOpportunity.jsx 4b card (data-testid=valuation-card, valuation-status, valuation-entry-basis/amount/multiple/method, valuation-comparable-row-&lt;i&gt;/name-&lt;i&gt;/metric-&lt;i&gt;/multiple-&lt;i&gt;, valuation-exit-route/timing/multiple, valuation-flag, valuation-ok) with the seven flat keys filtered out of the generic section loop; SiriusMemoDialog.jsx generic table testid (memo-valuation-table). test: server/tests/valuation.test.js (10 pass); server/tests/m2.test.js FIN-09 cases (config exposes fields + comparable bounds, complete capture no flags, below-minimum flagged not blocked). Evidence: docs/evidence/W2-08/preparer_valuation_complete.png, preparer_valuation_incomplete_flag.png, analyst_memo_valuation_table.png</t>
  </si>
  <si>
    <t xml:space="preserve">Cross-border fields (FX, WHT, transfer pricing, repatriation), conditional on geography</t>
  </si>
  <si>
    <t xml:space="preserve">Fields appear when target geography differs from home country</t>
  </si>
  <si>
    <t xml:space="preserve">code: server/config/crossBorder.js (CROSS_BORDER_FIELDS fx/wht/transfer_pricing/repatriation, CROSS_BORDER_ITEMS in BRD order, canonicalCountry + isCrossBorder mapping free-text geography onto a country via GEOGRAPHY_TAGS so UAE==United Arab Emirates, evaluateCrossBorder(data,{homeCountry}) -&gt; applies/target_country/home_country/items[{key,label,short,value,present}]/captured/total/complete/flags[&lt;short&gt;_missing]/message); server/gate.js cross_border on evaluateGate (home country via getOrganization(ownerOrg).geography) + config on GET /api/gate/fields; server/config/intakeConfig.js cross_border_fx/wht/transfer_pricing/repatriation (textareas, not required); server/config/siriusMemo.js Cross-border considerations table + target-vs-home note only when applies (homeCountry threaded through ctx); src/pages/SubmitOpportunity.jsx 4c card (data-testid=cross-border-card, cross-border-status, cross-border-fx/wht/transfer-pricing/repatriation, cross-border-flag, cross-border-ok) rendered only when the gate applies, four flat keys filtered out of the generic loop; fixture seed-cross-border (India target, UAE Infinia home). test: server/tests/crossBorder.test.js (10 pass); server/tests/m2.test.js FIN-08 cases (config exposes fields+items, same-country not applies, cross-country all-four complete, partial flagged not blocked). Evidence: docs/evidence/W2-09/preparer_cross_border_complete.png, preparer_cross_border_not_applicable.png, analyst_memo_cross_border.png</t>
  </si>
  <si>
    <t xml:space="preserve">Per-opportunity FX rate capture attached to financial fields</t>
  </si>
  <si>
    <t xml:space="preserve">Currency/unit shown on every financial field; FX recorded</t>
  </si>
  <si>
    <t xml:space="preserve">code: server/config/currency.js (BASE_CURRENCY AED, BASE_UNIT mn, REPORTING_CURRENCIES AED/USD, CURRENCY_FIELDS reporting_currency + fx_rate_usd_aed, normaliseCurrency defaults to AED, evaluateCurrency -&gt; currency/unit/is_base/fx_rate/fx_required/fx_present/fx_valid/base_currency/label/rate_label/complete/flags[fx_rate_missing|fx_rate_invalid]/message, toBaseCurrency converts USD-&gt;AED at the recorded rate or null); server/gate.js currency on evaluateGate + config on GET /api/gate/fields; server/config/intakeConfig.js reporting_currency (select) + fx_rate_usd_aed (number), neither required; server/config/siriusMemo.js finTable headed "Financials (&lt;label&gt;)" with unit column = label + Reporting currency &amp; units note; server/siriusMemoDocx.js + SiriusMemoDialog.jsx render the label; src/pages/SubmitOpportunity.jsx Reporting currency &amp; FX rate card at the top of the financials section (data-testid=currency-card, currency-status, currency-select, currency-fx-rate, currency-unit-note, currency-flag, currency-ok), 4a heading reads the chosen currency + unit, rate field disabled on the base currency, two flat keys filtered out of the generic loop; fixtures seed-fx-usd (USD @ 3.6725) + seed-fx-missing (USD, no rate). test: server/tests/currency.test.js (8 pass); server/tests/m2.test.js NFR-08 cases (config exposes base currency + field names, default AED complete no flags, USD with rate complete, USD without rate flagged not blocked). Evidence: docs/evidence/W2-10/preparer_currency_complete_usd.png, preparer_currency_default_aed.png, preparer_currency_flag_missing_rate.png, analyst_memo_currency_label.png</t>
  </si>
  <si>
    <t xml:space="preserve">Single screening panel aggregating eligibility, hard filters, hurdles, alignment, synergy/conflict, completeness</t>
  </si>
  <si>
    <t xml:space="preserve">W2-02, W2-04</t>
  </si>
  <si>
    <t xml:space="preserve">Screening squad</t>
  </si>
  <si>
    <t xml:space="preserve">Runs within 15 min of submission; each check shows result, rationale, evidence ref</t>
  </si>
  <si>
    <t xml:space="preserve">code: server/config/screeningPanel.js (SCREENING_CHECKS six BRD checks in order, SCREENING_SLA_MINUTES 15, advisory SCREENING_DISCLAIMER, evaluateScreeningPanel({gate,alignment,duplicates,conflict}) -&gt; checks[{key,module,label,order,advisory,result pass|flag|fail|not_applicable,pending,status,rationale,evidence_refs,detail}] + summary{counts,blocking,flagged,advisory_open,recommended,complete} + complete/flags/message, composes the existing gate blocks (self_screen, below_floor, hurdle_table, statement_model, currency, missing, completeness) + alignment score, hard filters &amp; synergy marked advisory, missing theme / unentered returns = pending not false verdict, never-rejects SCR-09); server/pipeline.js GET /opportunities/:id/screening (404/403 org-visibility, duplicates for cross-org readers only); src/api/client.js api.pipeline.screening(id); src/pages/ScreeningBoard.jsx screening panel at top of detail sheet (data-testid=screening-panel + screening-check-&lt;key&gt;) with result badges, advisory marker, evidence chips + i18n board.initialScreening. test: server/tests/screeningPanel.test.js (10 pass); server/tests/m3.test.js W3-01 cases (5 pass: panel shape + result/rationale/evidence per check + advisory disclaimer, submitted opportunity complete, stopped self-screen fails eligibility, sibling 403, missing 404). Evidence: docs/evidence/W3-01/analyst_screening_panel_overview.png, analyst_screening_panel_alignment_flag.png, analyst_screening_panel_conflict_signals.png</t>
  </si>
  <si>
    <t xml:space="preserve">Gate 1 hard filters -&gt; Recommended decline, reviewer confirm/override</t>
  </si>
  <si>
    <t xml:space="preserve">Failed filter sets Recommended decline with reason; system never rejects alone</t>
  </si>
  <si>
    <t xml:space="preserve">code: server/config/hardFilters.js (HARD_FILTER_VERSION HF-01.1, HARD_FILTER_ITEMS five Standing filters in BRD order - designated_vertical / check_size / sanctions_export / structuring / portfolio_conflict, HARD_FILTER_FIELDS six manual inputs, HARD_FILTER_REVIEW_DECISIONS confirmed|overridden + REASON_MIN 10, evaluateHardFilters(data,{theme,thresholds}) -&gt; items[{key,label,group,order,manual,status pass|fail|flag|not_evaluated,pending,rationale,evidence_refs,detail}]/failed[]/pending[]/recommended_outcome/recommended_reason/effective_outcome/review/awaiting_review/complete/flags/message, buildHardFilterReview validates a review and requires a written reason); server/config/intakeConfig.js six non-required hard-filter fields in the risks section (14-key required minimum unchanged); server/gate.js hard_filters on evaluateGate (effective theme resolved for the owner org) + config on GET /api/gate/fields + POST /opportunities/:id/hard-filter-review (write-org 403, 409 when nothing failed, decision persisted + audited hard_filter_&lt;decision&gt;) + GET /opportunities/:id/hard-filter-review/history; server/config/screeningPanel.js hard_filters check advisory:false reading the gate block (fail-&gt;Fail, flagged manual-&gt;Flag, else Pass); src/api/client.js gate.reviewHardFilter; src/pages/SubmitOpportunity.jsx 6a hard-filters card (hard-filters-card, hard-filter-&lt;key&gt;, hard-filter-sanctions/structuring/portfolio-conflict + notes + conflict-reviewer, hard-filters-outcome, hard-filters-decline); src/pages/ScreeningBoard.jsx reviewer confirm/override control (hard-filter-review, hard-filter-decision-confirmed/overridden, hard-filter-reason, hard-filter-submit). test: server/tests/hardFilters.test.js (17 pass); server/tests/screeningPanel.test.js (11 pass incl. failed filter -&gt; Fail + recommended decline); server/tests/m3.test.js W3-02 cases (4 pass: five filters with outcomes, /fields config, failed filter -&gt; recommended_decline + override needs reason + short reason 400, sibling 403 + clean deal 409). Evidence: docs/evidence/W3-02/preparer_hard_filters_form.png, analyst_hard_filters_recommended_decline.png, reviewer_hard_filters_review_override.png</t>
  </si>
  <si>
    <t xml:space="preserve">Gate 1 soft filters scored 1-5 with proposed score + rationale</t>
  </si>
  <si>
    <t xml:space="preserve">Each soft filter scored; reviewer confirms</t>
  </si>
  <si>
    <t xml:space="preserve">code: server/config/softFilters.js (SOFT_FILTER_VERSION SF-01.1, SOFT_FILTER_ITEMS three scored soft filters in BRD order - portfolio_adjacency / national_priorities / management_openness, SOFT_FILTER_FIELDS four manual inputs, SOFT_FILTER_SCALE 1-5, SOFT_FILTER_OUTCOMES strong|moderate|weak, UAE_PRIORITY_SECTORS, evaluateSoftFilters(data,{theme,portfolio,nationalPriorities}) -&gt; items[{key,label,group,order,proposed_score,proposed_label,score,label_band,confirmed,adjusted,rationale,evidence_refs,detail}]/item_count/proposed_average/average/average_label/outcome/review/awaiting_review/complete/flags/message, buildSoftFilterReview validates a review and requires all three scores 1-5 plus a rationale &gt;=10 chars); server/config/intakeConfig.js four non-required soft-filter fields in the risks section (14-key required minimum unchanged); server/gate.js soft_filters on evaluateGate (theme/portfolio/national-priorities inputs) + config on GET /api/gate/fields + POST /opportunities/:id/soft-filter-review (write-org 403, decision persisted + audited soft_filter_&lt;decision&gt;) + GET /opportunities/:id/soft-filter-review/history; server/config/screeningPanel.js soft_filters ride along as a section, not one of the six checks; src/api/client.js gate.reviewSoftFilter; src/pages/SubmitOpportunity.jsx 6b soft-filters card (soft-filters-card, soft-filter-&lt;key&gt;, soft-filter-management-openness + notes, soft-filters-outcome, soft-filters-scale); src/pages/ScreeningBoard.jsx reviewer confirm/adjust control (soft-filter-review, soft-filter-row-&lt;key&gt;, soft-filter-score-&lt;key&gt;-&lt;n&gt;, soft-filter-rationale-&lt;key&gt;, soft-filter-submit). test: server/tests/softFilters.test.js (10 pass); server/tests/screeningPanel.test.js (12 pass incl. soft filters ride-along section); server/tests/m3.test.js W3-03 cases (4 pass: three scored filters + proposed scores + awaiting_review, /fields config, short rationale 400 + bad score 400 + reasoned decision 200 confirms/adjusts + audit history + re-read persists, sibling 403). Evidence: docs/evidence/W3-03/preparer_soft_filters_form.png, analyst_soft_filters_scored_not_declined.png, reviewer_soft_filters_review_adjust.png</t>
  </si>
  <si>
    <t xml:space="preserve">Disqualifier flags with named clear + reason</t>
  </si>
  <si>
    <t xml:space="preserve">Flag prominent on record and memo; clearing needs reviewer + reason</t>
  </si>
  <si>
    <t xml:space="preserve">docs/evidence/W3-04/ - preparer form, analyst 2-open-flags, reviewer named clear; server/tests/disqualifiers.test.js 11 pass, m3 4 cases</t>
  </si>
  <si>
    <t xml:space="preserve">Weighted 1-5 scorecard from Gate 2 criteria; weights sum 100%; &gt;= 3.5 to proceed</t>
  </si>
  <si>
    <t xml:space="preserve">Weights validated to 100%; guide text per criterion; total/outcome auto</t>
  </si>
  <si>
    <t xml:space="preserve">docs/evidence/W3-05/ - weighted summary, criteria scoring, CIO override below bar; server/tests/scorecard.test.js 12 pass, m3 3 cases</t>
  </si>
  <si>
    <t xml:space="preserve">Two-lens floor (strategic vs financial sub-totals)</t>
  </si>
  <si>
    <t xml:space="preserve">Sub-totals shown; below floor if either under floor</t>
  </si>
  <si>
    <t xml:space="preserve">System-proposed scores per criterion (proposed + final stored; comment on adjustment)</t>
  </si>
  <si>
    <t xml:space="preserve">Both stored; comment required on adjustment</t>
  </si>
  <si>
    <t xml:space="preserve">Scorecard configuration admin (criteria, weights, thresholds, guide text), versioned</t>
  </si>
  <si>
    <t xml:space="preserve">Versioned + audited; historical scores not silently recalculated</t>
  </si>
  <si>
    <t xml:space="preserve">Overall quality score 0-100% with component breakdown and configurable bands</t>
  </si>
  <si>
    <t xml:space="preserve">Breakdown shown; advisory only; bands configurable</t>
  </si>
  <si>
    <t xml:space="preserve">Portfolio conflict &amp; concentration check against register</t>
  </si>
  <si>
    <t xml:space="preserve">Conflict flags with affected company; concentration % where data exists</t>
  </si>
  <si>
    <t xml:space="preserve">Synergy identification against portfolio register</t>
  </si>
  <si>
    <t xml:space="preserve">Top synergies listed; marked requires operating-company sign-off</t>
  </si>
  <si>
    <t xml:space="preserve">Sanctions / adverse media manual confirmation field + evidence upload</t>
  </si>
  <si>
    <t xml:space="preserve">Confirmation field with evidence on record</t>
  </si>
  <si>
    <t xml:space="preserve">Theme alignment document-passage citation (rationale quotes source doc)</t>
  </si>
  <si>
    <t xml:space="preserve">Per-dimension Aligned/Partly/Not aligned with rationale citing source passage</t>
  </si>
  <si>
    <t xml:space="preserve">Portfolio register seeded from BRD list with cluster/sector/geography/capability tags</t>
  </si>
  <si>
    <t xml:space="preserve">Data squad</t>
  </si>
  <si>
    <t xml:space="preserve">Register loadable from template; each record has sector/geo/capability tags</t>
  </si>
  <si>
    <t xml:space="preserve">Strategy document upload + indexing feeding the alignment engine within 10 min</t>
  </si>
  <si>
    <t xml:space="preserve">PDF/DOCX/PPTX indexed and available to alignment</t>
  </si>
  <si>
    <t xml:space="preserve">docs/evidence/W4-02/</t>
  </si>
  <si>
    <t xml:space="preserve">Versioned entity strategy profile; version recorded per screening</t>
  </si>
  <si>
    <t xml:space="preserve">Profile versioned; version used recorded per screening</t>
  </si>
  <si>
    <t xml:space="preserve">docs/evidence/W4-03/</t>
  </si>
  <si>
    <t xml:space="preserve">Versioned Sirius mandate admin-editable</t>
  </si>
  <si>
    <t xml:space="preserve">Changes versioned + audited</t>
  </si>
  <si>
    <t xml:space="preserve">docs/evidence/W4-04/</t>
  </si>
  <si>
    <t xml:space="preserve">Checklist generation by type/stage/flags with mandatory/conditional/optional, admin-maintainable</t>
  </si>
  <si>
    <t xml:space="preserve">Checklist updates as answers change; admin edits without code</t>
  </si>
  <si>
    <t xml:space="preserve">Version history + virus scan on upload; 50 MB limit, PDF/DOCX/XLSX/PPTX</t>
  </si>
  <si>
    <t xml:space="preserve">Previous versions retained; scan on upload</t>
  </si>
  <si>
    <t xml:space="preserve">Content sufficiency check (missing cash flow, &lt; 3y history, no downside) - advisory</t>
  </si>
  <si>
    <t xml:space="preserve">Flags to preparer pre-submit and reviewer post; override with reason</t>
  </si>
  <si>
    <t xml:space="preserve">Data-point to source mapping (config-held; click to open source)</t>
  </si>
  <si>
    <t xml:space="preserve">Mapping in config; reviewer opens linked source</t>
  </si>
  <si>
    <t xml:space="preserve">Templates area (Opportunity Overview, model, risk register, gate checklist)</t>
  </si>
  <si>
    <t xml:space="preserve">Current versions downloadable, Investment-Team maintained</t>
  </si>
  <si>
    <t xml:space="preserve">Configurable decision reason codes + free text; decisions unsaveable without reason</t>
  </si>
  <si>
    <t xml:space="preserve">Governance squad</t>
  </si>
  <si>
    <t xml:space="preserve">Reason required; declines captured for comparables</t>
  </si>
  <si>
    <t xml:space="preserve">Delegation of Authority thresholds by ticket size for Gate 1 RACI</t>
  </si>
  <si>
    <t xml:space="preserve">RACI enforced at Gate 1</t>
  </si>
  <si>
    <t xml:space="preserve">Related-party overlay hardening: conflicted-user exclusion, arm's-length documentation gate</t>
  </si>
  <si>
    <t xml:space="preserve">Case cannot reach Screening Decision without independent sign-off; conflicted users ineligible</t>
  </si>
  <si>
    <t xml:space="preserve">Internal vs shared comments visibility flag</t>
  </si>
  <si>
    <t xml:space="preserve">Internal comments never visible to subsidiary roles</t>
  </si>
  <si>
    <t xml:space="preserve">code: server/config/commentVisibility.js + commentVisibilityData.js (visibilities shared/internal, subsidiary roles, mayViewVisibility/isSubsidiaryViewer/effectiveMessageVisibility); server/commentVisibility.js GET/PUT /api/comment-visibility + history; server/qa.js filters every read + refuses internal authoring by a subsidiary role + drops subsidiary recipients from internal notifications; qa_thread.visibility + qa_message.visibility columns (db.js); Settings Comment Visibility tab; Q&amp;A and opportunity-route Internal badges + internal toggle. test: server/tests/commentVisibility.test.js (11 pass); server/tests/m6.test.js W6-04 (6 pass); full suite 789 pass. Evidence: docs/evidence/W6-04/</t>
  </si>
  <si>
    <t xml:space="preserve">Hash-chained, tamper-evident audit over append-only audit_event</t>
  </si>
  <si>
    <t xml:space="preserve">Log verifiable; tamper detected; 100% gate actions logged</t>
  </si>
  <si>
    <t xml:space="preserve">code: server/config/auditChainData.js + auditChain.js (canonicalize/canonicalRow/computeRowHash/verifyChain, sha256, genesis DEALFORGE-AUDIT-GENESIS-V1, config resolve/validate/build/diff); server/audit.js writeAudit stores seq/prev_hash/hash inside pg_advisory_xact_lock transaction + verifyAuditChain(); server/auditChain.js GET/PUT /api/audit-chain + POST /verify (admin-only, audited) + /history; db.js AUDIT_CHAIN_SCHEMA (seq/prev_hash/hash + partial unique index); Settings Audit Integrity tab + api.auditChain. test: server/tests/auditChain.test.js (13 pass); server/tests/m6.test.js W6-05 (6 pass); full suite 808 pass. Evidence: docs/evidence/W6-05/</t>
  </si>
  <si>
    <t xml:space="preserve">Presentation scheduling capture (date, attendees, outcome, next steps)</t>
  </si>
  <si>
    <t xml:space="preserve">Captured on record</t>
  </si>
  <si>
    <t xml:space="preserve">code: server/config/presentationSessionsData.js + presentationSessions.js (defaultPresentationConfig/validate/resolve/diff/build/normaliseSession/mayManagePresentations); server/db.js PRESENTATION_SCHEMA (presentation_session table + indexes); server/presentationSessions.js /api/presentations (policy GET/PUT admin-audited + /history + opportunity-scoped session list/create/update, 422 on missing field, outcome-required-on-complete); OpportunityRoute.jsx Presentation scheduling panel + api.presentations. test: server/tests/presentationSessions.test.js (11 pass); server/tests/m6.test.js W6-06 (6 pass); full suite 825 pass. Evidence: docs/evidence/W6-06/</t>
  </si>
  <si>
    <t xml:space="preserve">Notification email frequency (immediate / daily digest)</t>
  </si>
  <si>
    <t xml:space="preserve">User-selectable frequency; entity isolation respected</t>
  </si>
  <si>
    <t xml:space="preserve">code: server/config/notificationFrequencyData.js + notificationFrequency.js (defaultNotificationFrequencyConfig/validate/resolve/diff/build/effectiveFrequency/validateUserPreference/composeDigest); server/db.js NOTIFICATION_FREQUENCY_SCHEMA (app_user.notification_frequency); server/notificationFrequency.js /api/notification-frequency (policy GET + per-user PUT 422 on bad value + /policy admin PUT audited + /policy-history + /digest); server/notify.js defers email for a digest user (status deferred); Settings Notifications tab + api.notificationFrequency. test: server/tests/notificationFrequency.test.js (10 pass); server/tests/m6.test.js W6-07 (6 pass); full suite 841 pass. Evidence: docs/evidence/W6-07/</t>
  </si>
  <si>
    <t xml:space="preserve">IHC weekly report reproducing Friday tracker columns, Excel export, optional weekly schedule</t>
  </si>
  <si>
    <t xml:space="preserve">Reporting squad</t>
  </si>
  <si>
    <t xml:space="preserve">Columns match agreed tracker; exportable; schedulable</t>
  </si>
  <si>
    <t xml:space="preserve">evidence: docs/evidence/W7-01/leadership_ihc_weekly_tracker_leadership.png, admin_ihc_reporting_configuration_admin.png; code: server/config/reportingData.js + reporting.js, server/reporting.js, server/xlsx.js, src/pages/Reporting.jsx; tests: server/tests/reporting.test.js (10), m6.test.js W7-01 (5); full suite 856 pass</t>
  </si>
  <si>
    <t xml:space="preserve">Pipeline dashboard filters (entity, cluster, sector, state, owner, date) + drill-down</t>
  </si>
  <si>
    <t xml:space="preserve">Filters + drill-down; near-real-time</t>
  </si>
  <si>
    <t xml:space="preserve">evidence: docs/evidence/W7-02/leadership_pipeline_dashboard_filters_leadership.png, leadership_pipeline_dashboard_drilldown_leadership.png; code: server/config/pipelineDashboardData.js + pipelineDashboard.js, server/pipelineDashboard.js, src/pages/PipelineDashboard.jsx; tests: server/tests/pipelineDashboard.test.js (12), m6.test.js W7-02 (6); full suite 874 pass</t>
  </si>
  <si>
    <t xml:space="preserve">Funnel &amp; cycle-time metrics (conversion by stage, decline reasons, avg time/state vs SLA)</t>
  </si>
  <si>
    <t xml:space="preserve">Metrics for any date range; cycle time vs SLA</t>
  </si>
  <si>
    <t xml:space="preserve">evidence: docs/evidence/W7-03/leadership_funnel_conversion_leadership.png, leadership_cycle_time_vs_sla_leadership.png; code: server/config/pipelineMetricsData.js + pipelineMetrics.js, server/pipelineMetrics.js, src/pages/PipelineMetrics.jsx; tests: server/tests/pipelineMetrics.test.js (11), m6.test.js W7-03 (5); full suite 890 pass</t>
  </si>
  <si>
    <t xml:space="preserve">Opportunity Overview pack export (six-page Part B order/layout)</t>
  </si>
  <si>
    <t xml:space="preserve">Export follows Part B page order</t>
  </si>
  <si>
    <t xml:space="preserve">evidence: docs/evidence/W7-04/preparer_export_overview_pack_button.png, preparer_pack_six_page_part_b_order.png; code: server/config/memoPackData.js + memoPack.js, server/memoPack.js, src/components/pipeline/SiriusMemoDialog.jsx export button; tests: server/tests/memoPack.test.js (12), m6.test.js W7-04 (6); full suite 908 pass</t>
  </si>
  <si>
    <t xml:space="preserve">QR verification on exported memos linking to record version + hash</t>
  </si>
  <si>
    <t xml:space="preserve">Authorised scan opens record version/hash; tampered copy fails</t>
  </si>
  <si>
    <t xml:space="preserve">evidence: docs/evidence/W7-05/preparer_verification_qr_panel.png, preparer_verify_page_match.png, preparer_verify_page_tampered.png; code: server/config/memoVerificationData.js + memoVerification.js, server/memoVerification.js, server/siriusMemoDocx.js QR footer, src/pages/VerifyMemo.jsx /verify route, memo dialog QR panel; tests: server/tests/memoVerification.test.js (12), m6.test.js W7-05 (7); full suite 927 pass</t>
  </si>
  <si>
    <t xml:space="preserve">SSO (OIDC/SAML) + MFA provider integration; local accounts for approved externals</t>
  </si>
  <si>
    <t xml:space="preserve">Platform squad</t>
  </si>
  <si>
    <t xml:space="preserve">SSO works for Sirius + pilot subsidiary; MFA enforced; failed logins logged</t>
  </si>
  <si>
    <t xml:space="preserve">code: server/config/authPolicyData.js + server/config/authPolicy.js (MFA modes, OIDC/SAML kinds, SSO_PROVIDERS env, provider validation/redaction/merge, mfaRequiredForRoles/isLocalDomainAllowed/providerForDomain/sessionMfaSatisfied); server/authPolicy.js router /api/auth-policy (GET policy + history, PUT policy, POST/DELETE providers, admin via canConfigure, audited + persisted to AppSettings); server/auth.js Better Auth twoFactor + sso plugins, before-hook local-domain allowlist gate, after-hooks audit sign_in / sign_in_mfa_challenge / sign_in_failed / TOTP; server/index.js app-wide enforce_mfa middleware (403 mfa_required); src/pages/SuperAdmin.jsx Security &amp; SSO tab; src/pages/Login.jsx Sign in with SSO. test: server/tests/authPolicy.test.js (20 pass); server/tests/auth.test.js PLT-04 suite (30 pass combined). Evidence: docs/evidence/W8-01/admin_auth_policy_mfa.png, admin_sso_provider_registry.png, admin_login_sso_button.png</t>
  </si>
  <si>
    <t xml:space="preserve">i18n completion: all UI strings externalised; RTL demonstrated on &gt;= 1 screen</t>
  </si>
  <si>
    <t xml:space="preserve">No hard-coded strings; RTL demo screen</t>
  </si>
  <si>
    <t xml:space="preserve">code: src/lib/i18nMessages.js (shared en/ar dictionaries; Arabic authors chrome, vocabulary and the Dashboard); server/config/i18nData.js (LOCALES with dir/native label, DEFAULT_LOCALE, RTL_DEMO_SCREEN=/Dashboard, CORE_KEYS) + server/config/i18n.js (normaliseLocale, directionFor/isRtl, missingCoreKeys, localeSummary, buildI18nPayload); server/i18n.js /api/i18n + /api/i18n/locales; src/lib/i18n.jsx reads shared dicts and flips document lang/dir; src/pages/Dashboard.jsx + dashboard panels fully translated via t(). test: server/tests/i18n.test.js (14 pass, 53/53 core keys both locales); server/tests/i18nApi.test.js (2 pass). Evidence: docs/evidence/W8-02/admin_dashboard_ltr.png, admin_dashboard_rtl.png</t>
  </si>
  <si>
    <t xml:space="preserve">Unified admin config for hurdles, thresholds, weights, checklist, routing, SLAs, reason codes, picklists</t>
  </si>
  <si>
    <t xml:space="preserve">W2-04, W3-08, W6-01</t>
  </si>
  <si>
    <t xml:space="preserve">Admin edits versioned + audited; applies only to new screenings</t>
  </si>
  <si>
    <t xml:space="preserve">code: server/config/adminConfigData.js (23 configurable areas in 7 groups with key/action/route/code + versioned/audited flags, ADMIN_CONFIG_VERSION=ADM-01.1, scope note 'new screenings only'); server/config/adminConfig.js (configDomain, domainsByGroup, registrySummary, groupedDomains, buildAdminConfigPayload); server/adminConfig.js /api/admin-config registry + /domains + /:domain + /:domain/history (admin-only, 403 otherwise; history from immutable audit_event); src/api/client.js api.adminConfig; src/pages/Settings.jsx Config Registry tab (groups, edit route, versioned flag, audited change history). test: server/tests/adminConfig.test.js (7 pass); server/tests/adminConfigApi.test.js (6 pass). Evidence: docs/evidence/W8-03/admin_config_registry.png, admin_config_domain_history.png</t>
  </si>
  <si>
    <t xml:space="preserve">Data-room folder link on the opportunity record</t>
  </si>
  <si>
    <t xml:space="preserve">Folder link stored on record</t>
  </si>
  <si>
    <t xml:space="preserve">code: server/config/dataroomLink.js (DATAROOM_LINK_VERSION=INTG-01.1; provider vocabulary Coneshare/SharePoint/OneDrive/Google Drive/Box/Dropbox + generic fallback matched on host; https-only policy, host required, 2048 max; providerForUrl, validateDataroomLink, buildDataroomLinkRecord, describeDataroomLink); server/pipeline.js GET /dataroom-providers + GET/PUT/DELETE /opportunities/:id/dataroom-link (canViewOrg read, canWriteOrg write, 422 on invalid/http, audited dataroom_link_set / dataroom_link_cleared; pointer rides on the pipeline card as dataroom_folder); src/api/client.js pipeline.dataroomProviders/dataroomLink/setDataroomLink/clearDataroomLink; src/pages/ScreeningBoard.jsx Data-room folder panel (provider badge, Open folder, Clear, and the save editor). test: server/tests/dataroomLink.test.js (10 pass); server/tests/dataroomLinkApi.test.js (4 pass). Evidence: docs/evidence/W8-04/preparer_dataroom_link_set.png, preparer_dataroom_link_editor.png</t>
  </si>
  <si>
    <t xml:space="preserve">Bulk import of in-flight opportunities from Excel tracker with validation report</t>
  </si>
  <si>
    <t xml:space="preserve">One-off import with validation report</t>
  </si>
  <si>
    <t xml:space="preserve">code: server/config/bulkImport.js (BULK_IMPORT_VERSION=INTG-03.1; column map for the Sirius tracker headers -&gt; capture keys, required columns opportunity_name/owner_org_id/sector/geography/total_commitment_aed, max 500 rows, importable states draft/submission/screening; normaliseHeader, columnKeyForHeader, splitCsv/parseCsv/rowsFromMatrix, validateImportRow, buildValidationReport, importTemplateCsv); server/xlsxRead.js (dependency-free xlsx reader: shared strings, inline strings, numbers); server/bulkImport.js router /api/bulk-import (GET /policy, GET /template.csv, POST /validate dry-run report, POST /execute creates importable rows via the audited entity API + transition; admin-only via canConfigure, 403 otherwise; 422 when blocked, 400 without confirm; audits entity bulk_import action opportunities_imported); src/api/client.js api.bulkImport; src/pages/Settings.jsx Bulk Import tab (template download, validate, load, row-level report). test: server/tests/bulkImport.test.js (10 pass); server/tests/bulkImportApi.test.js (7 pass). Evidence: docs/evidence/W8-05/admin_bulk_import_report.png</t>
  </si>
  <si>
    <t xml:space="preserve">User admin hardening: deactivation immediate, all actions audited</t>
  </si>
  <si>
    <t xml:space="preserve">Deactivated users lose access immediately</t>
  </si>
  <si>
    <t xml:space="preserve">code: server/config/userAdmin.js (USER_ADMIN_VERSION=PLT-05.1; lifecycle policy revoke_sessions_on_deactivate/ban/password_change, block_self_deactivation, deactivation_takes_effect=immediately; named audited action catalog; statuses active/deactivated/banned; userStatus/isUserActive/accessBlockReason/describeUserStatus/shouldRevokeSessions); server/users.js buildActor enforces the status at the single actor-resolution choke point (inactive or banned -&gt; no actor; a presented session for such an account is refused, never falls through to the default identity); server/admin.js GET /api/admin/user-admin/policy, policy-driven session revocation on deactivate/ban/password/profile active-flag, POST /users/:id/reactivate, users decorated with status/status_label/can_authenticate; src/api/client.js admin.reactivateUser/userAdminPolicy; src/pages/SuperAdmin.jsx status badge + Deactivate/Reactivate swap + revoked-session reporting. test: server/tests/userAdmin.test.js (7 pass); server/tests/userAdminApi.test.js (3 pass). Evidence: docs/evidence/W8-06/admin_users_status_list.png, admin_deactivation_reactivate.png</t>
  </si>
  <si>
    <t xml:space="preserve">AI governance: prompt/output logging, AI-output labelling, provider-approval evidence</t>
  </si>
  <si>
    <t xml:space="preserve">Provider approved in writing before SCR-02 build</t>
  </si>
  <si>
    <t xml:space="preserve">Security review / vulnerability scan with no open critical/high</t>
  </si>
  <si>
    <t xml:space="preserve">Scan report clean at go-live</t>
  </si>
  <si>
    <t xml:space="preserve">UAE data residency / hosting confirmed and signed off</t>
  </si>
  <si>
    <t xml:space="preserve">Hosting design signed off by Sirius IT/security</t>
  </si>
  <si>
    <t xml:space="preserve">Data residency posture (NFR-01). server/config/residency.js classifies every dependency the running instance uses against the approved sovereign regions (me-central-1/me-central-2/uae/ae) and reports in-boundary/local/pinned/unpinned per dependency plus a posture_satisfied flag; pure classifier unit-tested in server/tests/residency.test.js (7 pass). Surfaced on GET /api/health (residency block) and in Settings -&gt; AI Governance as a Data residency (NFR-01) panel with an unpinned / sign-off badge. BLOCKED on the external hosting sign-off, which is a Sirius IT/security activity (tracked as control uae_data_residency, status External, in W9-02) - not claimed as done here. Evidence: docs/evidence/W9-03/</t>
  </si>
  <si>
    <t xml:space="preserve">Performance SIT (P95 page &lt; 3s; screening &lt; 15 min)</t>
  </si>
  <si>
    <t xml:space="preserve">Verified with representative data</t>
  </si>
  <si>
    <t xml:space="preserve">Backup/restore rehearsal (RPO 24h, RTO 8h)</t>
  </si>
  <si>
    <t xml:space="preserve">Restore tested once before go-live</t>
  </si>
  <si>
    <t xml:space="preserve">Browser/device SIT (latest 2 Chrome/Edge/Safari; tablet)</t>
  </si>
  <si>
    <t xml:space="preserve">Tested on listed browsers</t>
  </si>
  <si>
    <t xml:space="preserve">Usability UAT (pilot completes a submission unaided)</t>
  </si>
  <si>
    <t xml:space="preserve">Pilot completes without delivery-team support</t>
  </si>
  <si>
    <t xml:space="preserve">Usability UAT (NFR-07). server/config/usability.js defines the pilot task catalog (gate tasks capture/documents/draft/sign/status), the acceptance thresholds (&gt;=3 pilots, &gt;=80% unaided, 0 critical issues, mean SUS &gt;=68) and a pure scorer; server/tests/usability.test.js 8 pass. scripts/usability_uat.mjs scores recorded pilot sessions and exits non-zero when they miss the gate. BLOCKED: no pilot session recorded yet (pilot unavailable in this environment) - the harness reports the gate PENDING rather than claiming a pass. Run sheet + session template: docs/evidence/W9-07/.</t>
  </si>
  <si>
    <t xml:space="preserve">Existing systems review written up (integration points agreed)</t>
  </si>
  <si>
    <t xml:space="preserve">Delivery</t>
  </si>
  <si>
    <t xml:space="preserve">Findings documented; points agreed pre-build</t>
  </si>
  <si>
    <t xml:space="preserve">Existing systems review (INTG-02). docs/Existing_Systems_Review.md inventories every external system the MVP actually calls, read from the code: Postgres (DATABASE_URL), object storage (S3_ENDPOINT/S3_REGION), AI model (OPENAI_BASE_URL), email (Resend via NOTIFY_BASE_URL), SMS gateway (no provider - open), data room (CONESHARE_*), antivirus scanner (DOCUMENT_SCAN_COMMAND, builtin EICAR + optional external engine), and SSO (Better Auth OIDC/SAML, provider open). Five open items listed for the Sirius discovery workshop. BLOCKED: the write-up is done but the points must be AGREED in a Sirius IT workshop (external); no agreement is claimed. Evidence: docs/evidence/W9-08/ + docs/Existing_Systems_Review.md.</t>
  </si>
  <si>
    <t xml:space="preserve">W1-11</t>
  </si>
  <si>
    <t xml:space="preserve">W10 Sample data</t>
  </si>
  <si>
    <t xml:space="preserve">Clean all sample / demo data: remove demo opportunities, orgs, users and uploaded document bytes; keep only structured MVP fixtures seeded on demand</t>
  </si>
  <si>
    <t xml:space="preserve">PLT-01, INT-01</t>
  </si>
  <si>
    <t xml:space="preserve">Running with SEED_DEMO_DATA=false leaves zero demo rows; cleanup removes prior demo artifacts idempotently and is safe to re-run</t>
  </si>
  <si>
    <t xml:space="preserve">docs/evidence/W1-11/ - admin_sample_data_console.png (seed profile + clean/load controls), admin_seed_audit_trail.png (seeded audit events). Harness: scripts/capture_evidence.mjs. Test: server/tests/seedCleanup.test.js (5 pass), seedProfiles.test.js (7 pass). Commit 57cda82</t>
  </si>
  <si>
    <t xml:space="preserve">W1-12</t>
  </si>
  <si>
    <t xml:space="preserve">MVP sample mapping: structured, deterministic fixtures (org tree, users + roles, portfolio register, one fully-worked opportunity per persona journey, a theme-aligned case and an outside-appetite case) derived from Sirius subsidiary data and the nature-of-business map</t>
  </si>
  <si>
    <t xml:space="preserve">PLT-01, ENT-04, INT-01, SCR-02</t>
  </si>
  <si>
    <t xml:space="preserve">Every MVP persona journey has deterministic seed rows; the mapping is documented in docs/sample-data/MVP_Sample_Data_Map.md and loads from a single seed command</t>
  </si>
  <si>
    <t xml:space="preserve">docs/evidence/W1-12/ - admin_sample_inventory.png, preparer_intake_fixtures.png, analyst_screening_fixtures.png, preparer_fixture_state_refinement.png. 10 fixtures / 19 docs / 12 transitions; states draft 4, screening 4, submission 1, refinement 1. Harness: scripts/capture_evidence.mjs. Commit e5eda59</t>
  </si>
  <si>
    <t xml:space="preserve">W1-13</t>
  </si>
  <si>
    <t xml:space="preserve">Screenshot-evidence validation: capture per-TODO evidence (persona, feature covered, screenshot, how it works) into the structured path and only mark a TODO Done when its evidence exists</t>
  </si>
  <si>
    <t xml:space="preserve">Every Done TODO carries a screenshot at docs/evidence/&lt;TODO-ID&gt;/&lt;persona&gt;_&lt;feature&gt;.png; rows without evidence stay In progress</t>
  </si>
  <si>
    <t xml:space="preserve">docs/evidence/W1-13/ - admin_evidence_index.png (contact sheet generated from docs/evidence/). Convention: docs/evidence/README.md. Harness: scripts/capture_evidence.mjs + scripts/generate_evidence_index.mjs. Rule enforced: W1-11/W1-12 promoted to Done only once their shots existed; W1-03/W1-04 still In progress pending shots</t>
  </si>
  <si>
    <t xml:space="preserve">Weeks</t>
  </si>
  <si>
    <t xml:space="preserve">Outcome</t>
  </si>
  <si>
    <t xml:space="preserve">Scope</t>
  </si>
  <si>
    <t xml:space="preserve">Exit criteria</t>
  </si>
  <si>
    <t xml:space="preserve">BRD-to-plan reconciliation signed; backlog of record approved</t>
  </si>
  <si>
    <t xml:space="preserve">Plan signed; scope (62 Must + 20 Should) frozen</t>
  </si>
  <si>
    <t xml:space="preserve">Self-screen, below-floor exception, 6-section form, 10-gate checklist, accretion, greenfield, CEO/CFO attestation, withdraw, duplicate warning</t>
  </si>
  <si>
    <t xml:space="preserve">INT-02/03/06/07/08/09/10/13 pass; J1/J2/J3 green</t>
  </si>
  <si>
    <t xml:space="preserve">Financial summary, 3-statement check, 3-scenario returns, hurdle table, WACC, sources/uses, budget, valuation/exit, cross-border, FX</t>
  </si>
  <si>
    <t xml:space="preserve">FIN-01..FIN-10 pass</t>
  </si>
  <si>
    <t xml:space="preserve">Screening panel, hard/soft filters, disqualifiers, weighted scorecard + config, quality score, two-lens floor, proposed scores, conflict/synergy, sanctions field, alignment citation</t>
  </si>
  <si>
    <t xml:space="preserve">SCR-01..SCR-09, SCO-01..SCO-05 pass</t>
  </si>
  <si>
    <t xml:space="preserve">Portfolio register, strategy indexing, versioned profile/mandate, type-driven checklist, versioned uploads + scan, sufficiency check, data-point mapping, templates</t>
  </si>
  <si>
    <t xml:space="preserve">ENT-01..04, DOC-01..06 pass</t>
  </si>
  <si>
    <t xml:space="preserve">Reason codes, DoA, related-party overlay, internal/shared comments, hash-chained audit, presentation scheduling, notification frequency</t>
  </si>
  <si>
    <t xml:space="preserve">WF-05/06/07/08, AUD-01/03, NTF-01 pass; J7 green</t>
  </si>
  <si>
    <t xml:space="preserve">IHC weekly report, pipeline filters, funnel/cycle metrics, 6-page pack export, QR verification</t>
  </si>
  <si>
    <t xml:space="preserve">DSH-01/03/04, OUT-02/03 pass</t>
  </si>
  <si>
    <t xml:space="preserve">SSO/MFA, i18n completion, unified admin config, data-room link, bulk import, user-admin hardening</t>
  </si>
  <si>
    <t xml:space="preserve">PLT-04/05/06, ADM-01, INTG-01/03 pass</t>
  </si>
  <si>
    <t xml:space="preserve">AI governance, security scan, residency, performance, backup, browser SIT, usability</t>
  </si>
  <si>
    <t xml:space="preserve">NFR-01..NFR-07 pass</t>
  </si>
  <si>
    <t xml:space="preserve">Full-persona UAT on expanded scope; defect triage</t>
  </si>
  <si>
    <t xml:space="preserve">DoD met; Sirius signs off</t>
  </si>
  <si>
    <t xml:space="preserve">Pilot subsidiary live; first cluster onboarded</t>
  </si>
  <si>
    <t xml:space="preserve">Pilot submitting in-portal</t>
  </si>
  <si>
    <t xml:space="preserve">#</t>
  </si>
  <si>
    <t xml:space="preserve">Type</t>
  </si>
  <si>
    <t xml:space="preserve">Item</t>
  </si>
  <si>
    <t xml:space="preserve">Q1</t>
  </si>
  <si>
    <t xml:space="preserve">Decision</t>
  </si>
  <si>
    <t xml:space="preserve">Identity provider for PLT-04 (Entra ID?) and whether subsidiaries share the tenant</t>
  </si>
  <si>
    <t xml:space="preserve">Sirius</t>
  </si>
  <si>
    <t xml:space="preserve">Open</t>
  </si>
  <si>
    <t xml:space="preserve">Q2</t>
  </si>
  <si>
    <t xml:space="preserve">Confirm scorecard weight set and score bands (SCO-01/02/05)</t>
  </si>
  <si>
    <t xml:space="preserve">Q3</t>
  </si>
  <si>
    <t xml:space="preserve">Confirm hurdle placeholders: WACC margin, greenfield IRR, concentration, leverage (FIN-04)</t>
  </si>
  <si>
    <t xml:space="preserve">Q4</t>
  </si>
  <si>
    <t xml:space="preserve">Confirm SLA per state (WF-02)</t>
  </si>
  <si>
    <t xml:space="preserve">Q5</t>
  </si>
  <si>
    <t xml:space="preserve">Provide the current Friday tracker template (DSH-03)</t>
  </si>
  <si>
    <t xml:space="preserve">Q6</t>
  </si>
  <si>
    <t xml:space="preserve">Provide templates + manual Excel process (DOC-06) and in-flight tracker (INTG-03)</t>
  </si>
  <si>
    <t xml:space="preserve">Q7</t>
  </si>
  <si>
    <t xml:space="preserve">Existing sanctions/PEP screening provider, if any (SCR-08)</t>
  </si>
  <si>
    <t xml:space="preserve">Q8</t>
  </si>
  <si>
    <t xml:space="preserve">Standard three-statement model template mandated? (FIN-02)</t>
  </si>
  <si>
    <t xml:space="preserve">R1</t>
  </si>
  <si>
    <t xml:space="preserve">Risk</t>
  </si>
  <si>
    <t xml:space="preserve">W2 financial scope is large and gates W3/W7; slipping W2 slips the release</t>
  </si>
  <si>
    <t xml:space="preserve">Eng</t>
  </si>
  <si>
    <t xml:space="preserve">Tracking</t>
  </si>
  <si>
    <t xml:space="preserve">R2</t>
  </si>
  <si>
    <t xml:space="preserve">PLT-04 SSO depends on external IdP access; long lead time</t>
  </si>
  <si>
    <t xml:space="preserve">Eng/Sirius</t>
  </si>
  <si>
    <t xml:space="preserve">R3</t>
  </si>
  <si>
    <t xml:space="preserve">Scope wider than the existing Screening MVP plan; needs a written change note</t>
  </si>
  <si>
    <t xml:space="preserve">Sirius PO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</si>
</sst>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D0D0D0"/>
      </patternFill>
    </fill>
    <fill>
      <patternFill patternType="solid">
        <fgColor rgb="FFDDEBF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4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true" outlineLevel="0" collapsed="false">
      <c r="A7" s="6" t="s">
        <v>7</v>
      </c>
      <c r="B7" s="7" t="n">
        <f aca="false">COUNTIF(Requirements!$F:$F,A7)</f>
        <v>79</v>
      </c>
      <c r="C7" s="8" t="n">
        <f aca="false">IF(COUNTA(Requirements!$A$2:$A$89)=0,0,B7/COUNTA(Requirements!$A$2:$A$89))</f>
        <v>0.897727272727273</v>
      </c>
    </row>
    <row r="8" customFormat="false" ht="15" hidden="false" customHeight="true" outlineLevel="0" collapsed="false">
      <c r="A8" s="9" t="s">
        <v>8</v>
      </c>
      <c r="B8" s="7" t="n">
        <f aca="false">COUNTIF(Requirements!$F:$F,A8)</f>
        <v>2</v>
      </c>
      <c r="C8" s="8" t="n">
        <f aca="false">IF(COUNTA(Requirements!$A$2:$A$89)=0,0,B8/COUNTA(Requirements!$A$2:$A$89))</f>
        <v>0.0227272727272727</v>
      </c>
    </row>
    <row r="9" customFormat="false" ht="15" hidden="false" customHeight="true" outlineLevel="0" collapsed="false">
      <c r="A9" s="10" t="s">
        <v>9</v>
      </c>
      <c r="B9" s="7" t="n">
        <f aca="false">COUNTIF(Requirements!$F:$F,A9)</f>
        <v>0</v>
      </c>
      <c r="C9" s="8" t="n">
        <f aca="false">IF(COUNTA(Requirements!$A$2:$A$89)=0,0,B9/COUNTA(Requirements!$A$2:$A$89))</f>
        <v>0</v>
      </c>
    </row>
    <row r="10" customFormat="false" ht="15" hidden="false" customHeight="true" outlineLevel="0" collapsed="false">
      <c r="A10" s="11" t="s">
        <v>10</v>
      </c>
      <c r="B10" s="7" t="n">
        <f aca="false">COUNTIF(Requirements!$F:$F,A10)</f>
        <v>5</v>
      </c>
      <c r="C10" s="8" t="n">
        <f aca="false">IF(COUNTA(Requirements!$A$2:$A$89)=0,0,B10/COUNTA(Requirements!$A$2:$A$89))</f>
        <v>0.0568181818181818</v>
      </c>
    </row>
    <row r="11" customFormat="false" ht="15" hidden="false" customHeight="true" outlineLevel="0" collapsed="false">
      <c r="A11" s="12" t="s">
        <v>11</v>
      </c>
      <c r="B11" s="7" t="n">
        <f aca="false">COUNTIF(Requirements!$F:$F,A11)</f>
        <v>2</v>
      </c>
      <c r="C11" s="8" t="n">
        <f aca="false">IF(COUNTA(Requirements!$A$2:$A$89)=0,0,B11/COUNTA(Requirements!$A$2:$A$89))</f>
        <v>0.0227272727272727</v>
      </c>
    </row>
    <row r="12" customFormat="false" ht="15" hidden="false" customHeight="true" outlineLevel="0" collapsed="false">
      <c r="A12" s="13" t="s">
        <v>12</v>
      </c>
      <c r="B12" s="14" t="n">
        <f aca="false">SUM(B7:B11)</f>
        <v>88</v>
      </c>
      <c r="C12" s="15" t="n">
        <f aca="false">B12/COUNTA(Requirements!$A$2:$A$89)</f>
        <v>1</v>
      </c>
    </row>
    <row r="14" customFormat="false" ht="15" hidden="false" customHeight="true" outlineLevel="0" collapsed="false">
      <c r="A14" s="4" t="s">
        <v>13</v>
      </c>
    </row>
    <row r="15" customFormat="false" ht="15" hidden="false" customHeight="true" outlineLevel="0" collapsed="false">
      <c r="A15" s="5" t="s">
        <v>14</v>
      </c>
      <c r="B15" s="5" t="s">
        <v>12</v>
      </c>
      <c r="C15" s="5" t="s">
        <v>7</v>
      </c>
      <c r="D15" s="5" t="s">
        <v>8</v>
      </c>
      <c r="E15" s="5" t="s">
        <v>9</v>
      </c>
      <c r="F15" s="5" t="s">
        <v>10</v>
      </c>
    </row>
    <row r="16" customFormat="false" ht="15" hidden="false" customHeight="true" outlineLevel="0" collapsed="false">
      <c r="A16" s="16" t="s">
        <v>15</v>
      </c>
      <c r="B16" s="17" t="n">
        <f aca="false">COUNTIF(Requirements!$D:$D,A16)</f>
        <v>65</v>
      </c>
      <c r="C16" s="17" t="n">
        <f aca="false">COUNTIFS(Requirements!$D:$D,$A16,Requirements!$F:$F,C15)</f>
        <v>59</v>
      </c>
      <c r="D16" s="17" t="n">
        <f aca="false">COUNTIFS(Requirements!$D:$D,$A16,Requirements!$F:$F,D15)</f>
        <v>1</v>
      </c>
      <c r="E16" s="17" t="n">
        <f aca="false">COUNTIFS(Requirements!$D:$D,$A16,Requirements!$F:$F,E15)</f>
        <v>0</v>
      </c>
      <c r="F16" s="17" t="n">
        <f aca="false">COUNTIFS(Requirements!$D:$D,$A16,Requirements!$F:$F,F15)</f>
        <v>3</v>
      </c>
    </row>
    <row r="17" customFormat="false" ht="15" hidden="false" customHeight="true" outlineLevel="0" collapsed="false">
      <c r="A17" s="18" t="s">
        <v>16</v>
      </c>
      <c r="B17" s="17" t="n">
        <f aca="false">COUNTIF(Requirements!$D:$D,A17)</f>
        <v>20</v>
      </c>
      <c r="C17" s="17" t="n">
        <f aca="false">COUNTIFS(Requirements!$D:$D,$A17,Requirements!$F:$F,C15)</f>
        <v>19</v>
      </c>
      <c r="D17" s="17" t="n">
        <f aca="false">COUNTIFS(Requirements!$D:$D,$A17,Requirements!$F:$F,D15)</f>
        <v>1</v>
      </c>
      <c r="E17" s="17" t="n">
        <f aca="false">COUNTIFS(Requirements!$D:$D,$A17,Requirements!$F:$F,E15)</f>
        <v>0</v>
      </c>
      <c r="F17" s="17" t="n">
        <f aca="false">COUNTIFS(Requirements!$D:$D,$A17,Requirements!$F:$F,F15)</f>
        <v>0</v>
      </c>
    </row>
    <row r="18" customFormat="false" ht="15" hidden="false" customHeight="true" outlineLevel="0" collapsed="false">
      <c r="A18" s="19" t="s">
        <v>17</v>
      </c>
      <c r="B18" s="17" t="n">
        <f aca="false">COUNTIF(Requirements!$D:$D,A18)</f>
        <v>3</v>
      </c>
      <c r="C18" s="17" t="n">
        <f aca="false">COUNTIFS(Requirements!$D:$D,$A18,Requirements!$F:$F,C15)</f>
        <v>1</v>
      </c>
      <c r="D18" s="17" t="n">
        <f aca="false">COUNTIFS(Requirements!$D:$D,$A18,Requirements!$F:$F,D15)</f>
        <v>0</v>
      </c>
      <c r="E18" s="17" t="n">
        <f aca="false">COUNTIFS(Requirements!$D:$D,$A18,Requirements!$F:$F,E15)</f>
        <v>0</v>
      </c>
      <c r="F18" s="17" t="n">
        <f aca="false">COUNTIFS(Requirements!$D:$D,$A18,Requirements!$F:$F,F15)</f>
        <v>2</v>
      </c>
    </row>
    <row r="19" customFormat="false" ht="15" hidden="false" customHeight="true" outlineLevel="0" collapsed="false">
      <c r="A19" s="20" t="s">
        <v>12</v>
      </c>
      <c r="B19" s="20" t="n">
        <f aca="false">SUM(B16:B18)</f>
        <v>88</v>
      </c>
      <c r="C19" s="20" t="n">
        <f aca="false">SUM(C16:C18)</f>
        <v>79</v>
      </c>
      <c r="D19" s="20" t="n">
        <f aca="false">SUM(D16:D18)</f>
        <v>2</v>
      </c>
      <c r="E19" s="20" t="n">
        <f aca="false">SUM(E16:E18)</f>
        <v>0</v>
      </c>
      <c r="F19" s="20" t="n">
        <f aca="false">SUM(F16:F18)</f>
        <v>5</v>
      </c>
    </row>
    <row r="21" customFormat="false" ht="15" hidden="false" customHeight="true" outlineLevel="0" collapsed="false">
      <c r="A21" s="4" t="s">
        <v>18</v>
      </c>
    </row>
    <row r="22" customFormat="false" ht="15" hidden="false" customHeight="true" outlineLevel="0" collapsed="false">
      <c r="A22" s="5" t="s">
        <v>19</v>
      </c>
      <c r="B22" s="5" t="s">
        <v>20</v>
      </c>
      <c r="C22" s="5" t="s">
        <v>15</v>
      </c>
      <c r="D22" s="5" t="s">
        <v>16</v>
      </c>
      <c r="E22" s="5" t="s">
        <v>17</v>
      </c>
      <c r="F22" s="5" t="s">
        <v>21</v>
      </c>
    </row>
    <row r="23" customFormat="false" ht="15" hidden="false" customHeight="true" outlineLevel="0" collapsed="false">
      <c r="A23" s="17" t="s">
        <v>22</v>
      </c>
      <c r="B23" s="17" t="n">
        <f aca="false">COUNTIF(Backlog!$B:$B,A23)</f>
        <v>10</v>
      </c>
      <c r="C23" s="17" t="n">
        <f aca="false">COUNTIFS(Backlog!$B:$B,$A23,Backlog!$E:$E,C22)</f>
        <v>8</v>
      </c>
      <c r="D23" s="17" t="n">
        <f aca="false">COUNTIFS(Backlog!$B:$B,$A23,Backlog!$E:$E,D22)</f>
        <v>1</v>
      </c>
      <c r="E23" s="17" t="n">
        <f aca="false">COUNTIFS(Backlog!$B:$B,$A23,Backlog!$E:$E,E22)</f>
        <v>1</v>
      </c>
      <c r="F23" s="17" t="n">
        <f aca="false">SUMIF(Backlog!$B:$B,$A23,Backlog!$L:$L)</f>
        <v>46</v>
      </c>
    </row>
    <row r="24" customFormat="false" ht="15" hidden="false" customHeight="true" outlineLevel="0" collapsed="false">
      <c r="A24" s="17" t="s">
        <v>23</v>
      </c>
      <c r="B24" s="17" t="n">
        <f aca="false">COUNTIF(Backlog!$B:$B,A24)</f>
        <v>10</v>
      </c>
      <c r="C24" s="17" t="n">
        <f aca="false">COUNTIFS(Backlog!$B:$B,$A24,Backlog!$E:$E,C22)</f>
        <v>9</v>
      </c>
      <c r="D24" s="17" t="n">
        <f aca="false">COUNTIFS(Backlog!$B:$B,$A24,Backlog!$E:$E,D22)</f>
        <v>1</v>
      </c>
      <c r="E24" s="17" t="n">
        <f aca="false">COUNTIFS(Backlog!$B:$B,$A24,Backlog!$E:$E,E22)</f>
        <v>0</v>
      </c>
      <c r="F24" s="17" t="n">
        <f aca="false">SUMIF(Backlog!$B:$B,$A24,Backlog!$L:$L)</f>
        <v>48</v>
      </c>
    </row>
    <row r="25" customFormat="false" ht="15" hidden="false" customHeight="true" outlineLevel="0" collapsed="false">
      <c r="A25" s="17" t="s">
        <v>24</v>
      </c>
      <c r="B25" s="17" t="n">
        <f aca="false">COUNTIF(Backlog!$B:$B,A25)</f>
        <v>13</v>
      </c>
      <c r="C25" s="17" t="n">
        <f aca="false">COUNTIFS(Backlog!$B:$B,$A25,Backlog!$E:$E,C22)</f>
        <v>8</v>
      </c>
      <c r="D25" s="17" t="n">
        <f aca="false">COUNTIFS(Backlog!$B:$B,$A25,Backlog!$E:$E,D22)</f>
        <v>5</v>
      </c>
      <c r="E25" s="17" t="n">
        <f aca="false">COUNTIFS(Backlog!$B:$B,$A25,Backlog!$E:$E,E22)</f>
        <v>0</v>
      </c>
      <c r="F25" s="17" t="n">
        <f aca="false">SUMIF(Backlog!$B:$B,$A25,Backlog!$L:$L)</f>
        <v>72</v>
      </c>
    </row>
    <row r="26" customFormat="false" ht="15" hidden="false" customHeight="true" outlineLevel="0" collapsed="false">
      <c r="A26" s="17" t="s">
        <v>25</v>
      </c>
      <c r="B26" s="17" t="n">
        <f aca="false">COUNTIF(Backlog!$B:$B,A26)</f>
        <v>4</v>
      </c>
      <c r="C26" s="17" t="n">
        <f aca="false">COUNTIFS(Backlog!$B:$B,$A26,Backlog!$E:$E,C22)</f>
        <v>4</v>
      </c>
      <c r="D26" s="17" t="n">
        <f aca="false">COUNTIFS(Backlog!$B:$B,$A26,Backlog!$E:$E,D22)</f>
        <v>0</v>
      </c>
      <c r="E26" s="17" t="n">
        <f aca="false">COUNTIFS(Backlog!$B:$B,$A26,Backlog!$E:$E,E22)</f>
        <v>0</v>
      </c>
      <c r="F26" s="17" t="n">
        <f aca="false">SUMIF(Backlog!$B:$B,$A26,Backlog!$L:$L)</f>
        <v>17</v>
      </c>
    </row>
    <row r="27" customFormat="false" ht="15" hidden="false" customHeight="true" outlineLevel="0" collapsed="false">
      <c r="A27" s="17" t="s">
        <v>26</v>
      </c>
      <c r="B27" s="17" t="n">
        <f aca="false">COUNTIF(Backlog!$B:$B,A27)</f>
        <v>5</v>
      </c>
      <c r="C27" s="17" t="n">
        <f aca="false">COUNTIFS(Backlog!$B:$B,$A27,Backlog!$E:$E,C22)</f>
        <v>2</v>
      </c>
      <c r="D27" s="17" t="n">
        <f aca="false">COUNTIFS(Backlog!$B:$B,$A27,Backlog!$E:$E,D22)</f>
        <v>3</v>
      </c>
      <c r="E27" s="17" t="n">
        <f aca="false">COUNTIFS(Backlog!$B:$B,$A27,Backlog!$E:$E,E22)</f>
        <v>0</v>
      </c>
      <c r="F27" s="17" t="n">
        <f aca="false">SUMIF(Backlog!$B:$B,$A27,Backlog!$L:$L)</f>
        <v>27</v>
      </c>
    </row>
    <row r="28" customFormat="false" ht="15" hidden="false" customHeight="true" outlineLevel="0" collapsed="false">
      <c r="A28" s="17" t="s">
        <v>27</v>
      </c>
      <c r="B28" s="17" t="n">
        <f aca="false">COUNTIF(Backlog!$B:$B,A28)</f>
        <v>7</v>
      </c>
      <c r="C28" s="17" t="n">
        <f aca="false">COUNTIFS(Backlog!$B:$B,$A28,Backlog!$E:$E,C22)</f>
        <v>6</v>
      </c>
      <c r="D28" s="17" t="n">
        <f aca="false">COUNTIFS(Backlog!$B:$B,$A28,Backlog!$E:$E,D22)</f>
        <v>1</v>
      </c>
      <c r="E28" s="17" t="n">
        <f aca="false">COUNTIFS(Backlog!$B:$B,$A28,Backlog!$E:$E,E22)</f>
        <v>0</v>
      </c>
      <c r="F28" s="17" t="n">
        <f aca="false">SUMIF(Backlog!$B:$B,$A28,Backlog!$L:$L)</f>
        <v>23</v>
      </c>
    </row>
    <row r="29" customFormat="false" ht="15" hidden="false" customHeight="true" outlineLevel="0" collapsed="false">
      <c r="A29" s="17" t="s">
        <v>28</v>
      </c>
      <c r="B29" s="17" t="n">
        <f aca="false">COUNTIF(Backlog!$B:$B,A29)</f>
        <v>5</v>
      </c>
      <c r="C29" s="17" t="n">
        <f aca="false">COUNTIFS(Backlog!$B:$B,$A29,Backlog!$E:$E,C22)</f>
        <v>2</v>
      </c>
      <c r="D29" s="17" t="n">
        <f aca="false">COUNTIFS(Backlog!$B:$B,$A29,Backlog!$E:$E,D22)</f>
        <v>3</v>
      </c>
      <c r="E29" s="17" t="n">
        <f aca="false">COUNTIFS(Backlog!$B:$B,$A29,Backlog!$E:$E,E22)</f>
        <v>0</v>
      </c>
      <c r="F29" s="17" t="n">
        <f aca="false">SUMIF(Backlog!$B:$B,$A29,Backlog!$L:$L)</f>
        <v>31</v>
      </c>
    </row>
    <row r="30" customFormat="false" ht="15" hidden="false" customHeight="true" outlineLevel="0" collapsed="false">
      <c r="A30" s="17" t="s">
        <v>29</v>
      </c>
      <c r="B30" s="17" t="n">
        <f aca="false">COUNTIF(Backlog!$B:$B,A30)</f>
        <v>6</v>
      </c>
      <c r="C30" s="17" t="n">
        <f aca="false">COUNTIFS(Backlog!$B:$B,$A30,Backlog!$E:$E,C22)</f>
        <v>3</v>
      </c>
      <c r="D30" s="17" t="n">
        <f aca="false">COUNTIFS(Backlog!$B:$B,$A30,Backlog!$E:$E,D22)</f>
        <v>3</v>
      </c>
      <c r="E30" s="17" t="n">
        <f aca="false">COUNTIFS(Backlog!$B:$B,$A30,Backlog!$E:$E,E22)</f>
        <v>0</v>
      </c>
      <c r="F30" s="17" t="n">
        <f aca="false">SUMIF(Backlog!$B:$B,$A30,Backlog!$L:$L)</f>
        <v>34</v>
      </c>
    </row>
    <row r="31" customFormat="false" ht="15" hidden="false" customHeight="true" outlineLevel="0" collapsed="false">
      <c r="A31" s="17" t="s">
        <v>30</v>
      </c>
      <c r="B31" s="17" t="n">
        <f aca="false">COUNTIF(Backlog!$B:$B,A31)</f>
        <v>8</v>
      </c>
      <c r="C31" s="17" t="n">
        <f aca="false">COUNTIFS(Backlog!$B:$B,$A31,Backlog!$E:$E,C22)</f>
        <v>5</v>
      </c>
      <c r="D31" s="17" t="n">
        <f aca="false">COUNTIFS(Backlog!$B:$B,$A31,Backlog!$E:$E,D22)</f>
        <v>3</v>
      </c>
      <c r="E31" s="17" t="n">
        <f aca="false">COUNTIFS(Backlog!$B:$B,$A31,Backlog!$E:$E,E22)</f>
        <v>0</v>
      </c>
      <c r="F31" s="17" t="n">
        <f aca="false">SUMIF(Backlog!$B:$B,$A31,Backlog!$L:$L)</f>
        <v>25</v>
      </c>
    </row>
    <row r="32" customFormat="false" ht="15" hidden="false" customHeight="true" outlineLevel="0" collapsed="false">
      <c r="A32" s="20" t="s">
        <v>12</v>
      </c>
      <c r="B32" s="20" t="n">
        <f aca="false">SUM(B23:B31)</f>
        <v>68</v>
      </c>
      <c r="C32" s="20" t="n">
        <f aca="false">SUM(C23:C31)</f>
        <v>47</v>
      </c>
      <c r="D32" s="20" t="n">
        <f aca="false">SUM(D23:D31)</f>
        <v>20</v>
      </c>
      <c r="E32" s="20" t="n">
        <f aca="false">SUM(E23:E31)</f>
        <v>1</v>
      </c>
      <c r="F32" s="20" t="n">
        <f aca="false">SUM(F23:F31)</f>
        <v>323</v>
      </c>
    </row>
    <row r="34" customFormat="false" ht="15" hidden="false" customHeight="true" outlineLevel="0" collapsed="false">
      <c r="A34" s="4" t="s">
        <v>31</v>
      </c>
    </row>
    <row r="35" customFormat="false" ht="15" hidden="false" customHeight="true" outlineLevel="0" collapsed="false">
      <c r="A35" s="20" t="s">
        <v>32</v>
      </c>
      <c r="B35" s="17" t="s">
        <v>33</v>
      </c>
      <c r="C35" s="17" t="s">
        <v>34</v>
      </c>
    </row>
    <row r="36" customFormat="false" ht="15" hidden="false" customHeight="true" outlineLevel="0" collapsed="false">
      <c r="A36" s="20" t="s">
        <v>35</v>
      </c>
      <c r="B36" s="17" t="s">
        <v>36</v>
      </c>
      <c r="C36" s="17" t="s">
        <v>37</v>
      </c>
    </row>
    <row r="37" customFormat="false" ht="15" hidden="false" customHeight="true" outlineLevel="0" collapsed="false">
      <c r="A37" s="20" t="s">
        <v>38</v>
      </c>
      <c r="B37" s="17" t="s">
        <v>39</v>
      </c>
      <c r="C37" s="17" t="s">
        <v>40</v>
      </c>
    </row>
    <row r="38" customFormat="false" ht="15" hidden="false" customHeight="true" outlineLevel="0" collapsed="false">
      <c r="A38" s="20" t="s">
        <v>41</v>
      </c>
      <c r="B38" s="17" t="s">
        <v>42</v>
      </c>
      <c r="C38" s="17" t="s">
        <v>43</v>
      </c>
    </row>
    <row r="39" customFormat="false" ht="15" hidden="false" customHeight="true" outlineLevel="0" collapsed="false">
      <c r="A39" s="20" t="s">
        <v>44</v>
      </c>
      <c r="B39" s="17" t="s">
        <v>45</v>
      </c>
      <c r="C39" s="17" t="s">
        <v>46</v>
      </c>
    </row>
    <row r="40" customFormat="false" ht="15" hidden="false" customHeight="true" outlineLevel="0" collapsed="false">
      <c r="A40" s="20" t="s">
        <v>47</v>
      </c>
      <c r="B40" s="17" t="s">
        <v>48</v>
      </c>
      <c r="C40" s="17" t="s">
        <v>49</v>
      </c>
    </row>
    <row r="41" customFormat="false" ht="15" hidden="false" customHeight="true" outlineLevel="0" collapsed="false">
      <c r="A41" s="20" t="s">
        <v>50</v>
      </c>
      <c r="B41" s="17" t="s">
        <v>51</v>
      </c>
      <c r="C41" s="17" t="s">
        <v>52</v>
      </c>
    </row>
    <row r="42" customFormat="false" ht="15" hidden="false" customHeight="true" outlineLevel="0" collapsed="false">
      <c r="A42" s="20" t="s">
        <v>53</v>
      </c>
      <c r="B42" s="17" t="s">
        <v>54</v>
      </c>
      <c r="C42" s="17" t="s">
        <v>55</v>
      </c>
    </row>
    <row r="43" customFormat="false" ht="15" hidden="false" customHeight="true" outlineLevel="0" collapsed="false">
      <c r="A43" s="20" t="s">
        <v>56</v>
      </c>
      <c r="B43" s="17" t="s">
        <v>57</v>
      </c>
      <c r="C43" s="17" t="s">
        <v>58</v>
      </c>
    </row>
    <row r="44" customFormat="false" ht="15" hidden="false" customHeight="true" outlineLevel="0" collapsed="false">
      <c r="A44" s="20" t="s">
        <v>59</v>
      </c>
      <c r="B44" s="17" t="s">
        <v>60</v>
      </c>
      <c r="C44" s="17" t="s">
        <v>61</v>
      </c>
    </row>
    <row r="45" customFormat="false" ht="15" hidden="false" customHeight="true" outlineLevel="0" collapsed="false">
      <c r="A45" s="20" t="s">
        <v>62</v>
      </c>
      <c r="B45" s="17" t="s">
        <v>63</v>
      </c>
      <c r="C45" s="17" t="s">
        <v>64</v>
      </c>
    </row>
    <row r="47" customFormat="false" ht="15" hidden="false" customHeight="true" outlineLevel="0" collapsed="false">
      <c r="A47" s="21" t="s">
        <v>65</v>
      </c>
    </row>
    <row r="48" customFormat="false" ht="15" hidden="false" customHeight="true" outlineLevel="0" collapsed="false">
      <c r="A48" s="22" t="s">
        <v>4</v>
      </c>
      <c r="B48" s="22" t="s">
        <v>5</v>
      </c>
      <c r="C48" s="22" t="s">
        <v>66</v>
      </c>
    </row>
    <row r="49" customFormat="false" ht="15" hidden="false" customHeight="true" outlineLevel="0" collapsed="false">
      <c r="A49" s="17" t="s">
        <v>67</v>
      </c>
      <c r="B49" s="17" t="n">
        <f aca="false">COUNTIF(Backlog!$K:$K,$A49)</f>
        <v>0</v>
      </c>
      <c r="C49" s="23" t="n">
        <f aca="false">IF(COUNTIF(Backlog!$A$2:$A$72,"?*")=0,0,B49/COUNTIF(Backlog!$A$2:$A$72,"?*"))</f>
        <v>0</v>
      </c>
    </row>
    <row r="50" customFormat="false" ht="15" hidden="false" customHeight="true" outlineLevel="0" collapsed="false">
      <c r="A50" s="17" t="s">
        <v>68</v>
      </c>
      <c r="B50" s="17" t="n">
        <f aca="false">COUNTIF(Backlog!$K:$K,$A50)</f>
        <v>0</v>
      </c>
      <c r="C50" s="23" t="n">
        <f aca="false">IF(COUNTIF(Backlog!$A$2:$A$72,"?*")=0,0,B50/COUNTIF(Backlog!$A$2:$A$72,"?*"))</f>
        <v>0</v>
      </c>
    </row>
    <row r="51" customFormat="false" ht="15" hidden="false" customHeight="true" outlineLevel="0" collapsed="false">
      <c r="A51" s="17" t="s">
        <v>69</v>
      </c>
      <c r="B51" s="17" t="n">
        <f aca="false">COUNTIF(Backlog!$K:$K,$A51)</f>
        <v>3</v>
      </c>
      <c r="C51" s="23" t="n">
        <f aca="false">IF(COUNTIF(Backlog!$A$2:$A$72,"?*")=0,0,B51/COUNTIF(Backlog!$A$2:$A$72,"?*"))</f>
        <v>0.0422535211267606</v>
      </c>
    </row>
    <row r="52" customFormat="false" ht="15" hidden="false" customHeight="true" outlineLevel="0" collapsed="false">
      <c r="A52" s="17" t="s">
        <v>70</v>
      </c>
      <c r="B52" s="17" t="n">
        <f aca="false">COUNTIF(Backlog!$K:$K,$A52)</f>
        <v>68</v>
      </c>
      <c r="C52" s="23" t="n">
        <f aca="false">IF(COUNTIF(Backlog!$A$2:$A$72,"?*")=0,0,B52/COUNTIF(Backlog!$A$2:$A$72,"?*"))</f>
        <v>0.957746478873239</v>
      </c>
    </row>
    <row r="53" customFormat="false" ht="15" hidden="false" customHeight="true" outlineLevel="0" collapsed="false">
      <c r="A53" s="17" t="s">
        <v>10</v>
      </c>
      <c r="B53" s="17" t="n">
        <f aca="false">COUNTIF(Backlog!$K:$K,$A53)</f>
        <v>0</v>
      </c>
      <c r="C53" s="23" t="n">
        <f aca="false">IF(COUNTIF(Backlog!$A$2:$A$72,"?*")=0,0,B53/COUNTIF(Backlog!$A$2:$A$72,"?*"))</f>
        <v>0</v>
      </c>
    </row>
    <row r="54" customFormat="false" ht="15" hidden="false" customHeight="true" outlineLevel="0" collapsed="false">
      <c r="A54" s="20" t="s">
        <v>12</v>
      </c>
      <c r="B54" s="20" t="n">
        <f aca="false">SUM(B49:B53)</f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1"/>
    <col collapsed="false" customWidth="true" hidden="false" outlineLevel="0" max="7" min="7" style="1" width="15"/>
    <col collapsed="false" customWidth="true" hidden="false" outlineLevel="0" max="8" min="8" style="1" width="12"/>
    <col collapsed="false" customWidth="true" hidden="false" outlineLevel="0" max="9" min="9" style="1" width="52"/>
  </cols>
  <sheetData>
    <row r="1" customFormat="false" ht="23.25" hidden="false" customHeight="true" outlineLevel="0" collapsed="false">
      <c r="A1" s="24" t="s">
        <v>71</v>
      </c>
      <c r="B1" s="24" t="s">
        <v>72</v>
      </c>
      <c r="C1" s="24" t="s">
        <v>73</v>
      </c>
      <c r="D1" s="24" t="s">
        <v>14</v>
      </c>
      <c r="E1" s="24" t="s">
        <v>74</v>
      </c>
      <c r="F1" s="24" t="s">
        <v>4</v>
      </c>
      <c r="G1" s="24" t="s">
        <v>19</v>
      </c>
      <c r="H1" s="24" t="s">
        <v>75</v>
      </c>
      <c r="I1" s="24" t="s">
        <v>76</v>
      </c>
    </row>
    <row r="2" customFormat="false" ht="15" hidden="false" customHeight="true" outlineLevel="0" collapsed="false">
      <c r="A2" s="25" t="s">
        <v>77</v>
      </c>
      <c r="B2" s="26" t="s">
        <v>78</v>
      </c>
      <c r="C2" s="26" t="s">
        <v>79</v>
      </c>
      <c r="D2" s="27" t="s">
        <v>15</v>
      </c>
      <c r="E2" s="26" t="s">
        <v>80</v>
      </c>
      <c r="F2" s="28" t="s">
        <v>7</v>
      </c>
      <c r="G2" s="26" t="s">
        <v>81</v>
      </c>
      <c r="H2" s="26"/>
      <c r="I2" s="26" t="s">
        <v>82</v>
      </c>
    </row>
    <row r="3" customFormat="false" ht="23.25" hidden="false" customHeight="true" outlineLevel="0" collapsed="false">
      <c r="A3" s="25" t="s">
        <v>83</v>
      </c>
      <c r="B3" s="26" t="s">
        <v>78</v>
      </c>
      <c r="C3" s="26" t="s">
        <v>84</v>
      </c>
      <c r="D3" s="27" t="s">
        <v>15</v>
      </c>
      <c r="E3" s="26" t="s">
        <v>80</v>
      </c>
      <c r="F3" s="28" t="s">
        <v>7</v>
      </c>
      <c r="G3" s="26" t="s">
        <v>81</v>
      </c>
      <c r="H3" s="26"/>
      <c r="I3" s="26" t="s">
        <v>85</v>
      </c>
    </row>
    <row r="4" customFormat="false" ht="15" hidden="false" customHeight="true" outlineLevel="0" collapsed="false">
      <c r="A4" s="25" t="s">
        <v>86</v>
      </c>
      <c r="B4" s="26" t="s">
        <v>78</v>
      </c>
      <c r="C4" s="26" t="s">
        <v>87</v>
      </c>
      <c r="D4" s="27" t="s">
        <v>15</v>
      </c>
      <c r="E4" s="26" t="s">
        <v>80</v>
      </c>
      <c r="F4" s="28" t="s">
        <v>7</v>
      </c>
      <c r="G4" s="26" t="s">
        <v>81</v>
      </c>
      <c r="H4" s="26"/>
      <c r="I4" s="26" t="s">
        <v>88</v>
      </c>
    </row>
    <row r="5" customFormat="false" ht="15" hidden="false" customHeight="true" outlineLevel="0" collapsed="false">
      <c r="A5" s="25" t="s">
        <v>89</v>
      </c>
      <c r="B5" s="26" t="s">
        <v>78</v>
      </c>
      <c r="C5" s="26" t="s">
        <v>90</v>
      </c>
      <c r="D5" s="27" t="s">
        <v>15</v>
      </c>
      <c r="E5" s="26" t="s">
        <v>80</v>
      </c>
      <c r="F5" s="29" t="s">
        <v>7</v>
      </c>
      <c r="G5" s="26" t="s">
        <v>29</v>
      </c>
      <c r="H5" s="26" t="s">
        <v>91</v>
      </c>
      <c r="I5" s="26" t="s">
        <v>92</v>
      </c>
    </row>
    <row r="6" customFormat="false" ht="15" hidden="false" customHeight="true" outlineLevel="0" collapsed="false">
      <c r="A6" s="25" t="s">
        <v>93</v>
      </c>
      <c r="B6" s="26" t="s">
        <v>78</v>
      </c>
      <c r="C6" s="26" t="s">
        <v>94</v>
      </c>
      <c r="D6" s="27" t="s">
        <v>15</v>
      </c>
      <c r="E6" s="26" t="s">
        <v>80</v>
      </c>
      <c r="F6" s="28" t="s">
        <v>7</v>
      </c>
      <c r="G6" s="26" t="s">
        <v>29</v>
      </c>
      <c r="H6" s="26" t="s">
        <v>95</v>
      </c>
      <c r="I6" s="26" t="s">
        <v>96</v>
      </c>
    </row>
    <row r="7" customFormat="false" ht="15" hidden="false" customHeight="true" outlineLevel="0" collapsed="false">
      <c r="A7" s="25" t="s">
        <v>97</v>
      </c>
      <c r="B7" s="26" t="s">
        <v>78</v>
      </c>
      <c r="C7" s="26" t="s">
        <v>98</v>
      </c>
      <c r="D7" s="30" t="s">
        <v>16</v>
      </c>
      <c r="E7" s="26" t="s">
        <v>80</v>
      </c>
      <c r="F7" s="29" t="s">
        <v>7</v>
      </c>
      <c r="G7" s="26" t="s">
        <v>29</v>
      </c>
      <c r="H7" s="26" t="s">
        <v>99</v>
      </c>
      <c r="I7" s="26" t="s">
        <v>100</v>
      </c>
    </row>
    <row r="8" customFormat="false" ht="15" hidden="false" customHeight="true" outlineLevel="0" collapsed="false">
      <c r="A8" s="25" t="s">
        <v>101</v>
      </c>
      <c r="B8" s="26" t="s">
        <v>102</v>
      </c>
      <c r="C8" s="26" t="s">
        <v>103</v>
      </c>
      <c r="D8" s="27" t="s">
        <v>15</v>
      </c>
      <c r="E8" s="26" t="s">
        <v>80</v>
      </c>
      <c r="F8" s="29" t="s">
        <v>7</v>
      </c>
      <c r="G8" s="26" t="s">
        <v>25</v>
      </c>
      <c r="H8" s="26" t="s">
        <v>104</v>
      </c>
      <c r="I8" s="26" t="s">
        <v>105</v>
      </c>
    </row>
    <row r="9" customFormat="false" ht="15" hidden="false" customHeight="true" outlineLevel="0" collapsed="false">
      <c r="A9" s="25" t="s">
        <v>106</v>
      </c>
      <c r="B9" s="26" t="s">
        <v>102</v>
      </c>
      <c r="C9" s="26" t="s">
        <v>107</v>
      </c>
      <c r="D9" s="27" t="s">
        <v>15</v>
      </c>
      <c r="E9" s="26" t="s">
        <v>80</v>
      </c>
      <c r="F9" s="29" t="s">
        <v>7</v>
      </c>
      <c r="G9" s="26" t="s">
        <v>25</v>
      </c>
      <c r="H9" s="26" t="s">
        <v>108</v>
      </c>
      <c r="I9" s="26" t="s">
        <v>109</v>
      </c>
    </row>
    <row r="10" customFormat="false" ht="15" hidden="false" customHeight="true" outlineLevel="0" collapsed="false">
      <c r="A10" s="25" t="s">
        <v>110</v>
      </c>
      <c r="B10" s="26" t="s">
        <v>102</v>
      </c>
      <c r="C10" s="26" t="s">
        <v>111</v>
      </c>
      <c r="D10" s="27" t="s">
        <v>15</v>
      </c>
      <c r="E10" s="26" t="s">
        <v>80</v>
      </c>
      <c r="F10" s="28" t="s">
        <v>7</v>
      </c>
      <c r="G10" s="26" t="s">
        <v>25</v>
      </c>
      <c r="H10" s="26" t="s">
        <v>112</v>
      </c>
      <c r="I10" s="26" t="s">
        <v>113</v>
      </c>
    </row>
    <row r="11" customFormat="false" ht="23.25" hidden="false" customHeight="true" outlineLevel="0" collapsed="false">
      <c r="A11" s="25" t="s">
        <v>114</v>
      </c>
      <c r="B11" s="26" t="s">
        <v>102</v>
      </c>
      <c r="C11" s="26" t="s">
        <v>115</v>
      </c>
      <c r="D11" s="27" t="s">
        <v>15</v>
      </c>
      <c r="E11" s="26" t="s">
        <v>80</v>
      </c>
      <c r="F11" s="29" t="s">
        <v>7</v>
      </c>
      <c r="G11" s="26" t="s">
        <v>25</v>
      </c>
      <c r="H11" s="26" t="s">
        <v>116</v>
      </c>
      <c r="I11" s="26" t="s">
        <v>117</v>
      </c>
    </row>
    <row r="12" customFormat="false" ht="15" hidden="false" customHeight="true" outlineLevel="0" collapsed="false">
      <c r="A12" s="25" t="s">
        <v>118</v>
      </c>
      <c r="B12" s="26" t="s">
        <v>119</v>
      </c>
      <c r="C12" s="26" t="s">
        <v>120</v>
      </c>
      <c r="D12" s="27" t="s">
        <v>15</v>
      </c>
      <c r="E12" s="26" t="s">
        <v>80</v>
      </c>
      <c r="F12" s="28" t="s">
        <v>7</v>
      </c>
      <c r="G12" s="26" t="s">
        <v>22</v>
      </c>
      <c r="H12" s="26"/>
      <c r="I12" s="26" t="s">
        <v>121</v>
      </c>
    </row>
    <row r="13" customFormat="false" ht="15" hidden="false" customHeight="true" outlineLevel="0" collapsed="false">
      <c r="A13" s="25" t="s">
        <v>122</v>
      </c>
      <c r="B13" s="26" t="s">
        <v>119</v>
      </c>
      <c r="C13" s="26" t="s">
        <v>123</v>
      </c>
      <c r="D13" s="27" t="s">
        <v>15</v>
      </c>
      <c r="E13" s="26" t="s">
        <v>80</v>
      </c>
      <c r="F13" s="31" t="s">
        <v>7</v>
      </c>
      <c r="G13" s="26" t="s">
        <v>22</v>
      </c>
      <c r="H13" s="26" t="s">
        <v>124</v>
      </c>
      <c r="I13" s="26" t="s">
        <v>125</v>
      </c>
    </row>
    <row r="14" customFormat="false" ht="15" hidden="false" customHeight="true" outlineLevel="0" collapsed="false">
      <c r="A14" s="25" t="s">
        <v>126</v>
      </c>
      <c r="B14" s="26" t="s">
        <v>119</v>
      </c>
      <c r="C14" s="26" t="s">
        <v>127</v>
      </c>
      <c r="D14" s="27" t="s">
        <v>15</v>
      </c>
      <c r="E14" s="26" t="s">
        <v>80</v>
      </c>
      <c r="F14" s="31" t="s">
        <v>7</v>
      </c>
      <c r="G14" s="26" t="s">
        <v>22</v>
      </c>
      <c r="H14" s="26" t="s">
        <v>128</v>
      </c>
      <c r="I14" s="26" t="s">
        <v>129</v>
      </c>
    </row>
    <row r="15" customFormat="false" ht="15" hidden="false" customHeight="true" outlineLevel="0" collapsed="false">
      <c r="A15" s="25" t="s">
        <v>130</v>
      </c>
      <c r="B15" s="26" t="s">
        <v>119</v>
      </c>
      <c r="C15" s="26" t="s">
        <v>131</v>
      </c>
      <c r="D15" s="27" t="s">
        <v>15</v>
      </c>
      <c r="E15" s="26" t="s">
        <v>80</v>
      </c>
      <c r="F15" s="28" t="s">
        <v>7</v>
      </c>
      <c r="G15" s="26" t="s">
        <v>22</v>
      </c>
      <c r="H15" s="26"/>
      <c r="I15" s="26" t="s">
        <v>132</v>
      </c>
    </row>
    <row r="16" customFormat="false" ht="23.25" hidden="false" customHeight="true" outlineLevel="0" collapsed="false">
      <c r="A16" s="25" t="s">
        <v>133</v>
      </c>
      <c r="B16" s="26" t="s">
        <v>119</v>
      </c>
      <c r="C16" s="26" t="s">
        <v>134</v>
      </c>
      <c r="D16" s="27" t="s">
        <v>15</v>
      </c>
      <c r="E16" s="26" t="s">
        <v>80</v>
      </c>
      <c r="F16" s="29" t="s">
        <v>7</v>
      </c>
      <c r="G16" s="26" t="s">
        <v>22</v>
      </c>
      <c r="H16" s="26" t="s">
        <v>135</v>
      </c>
      <c r="I16" s="26" t="s">
        <v>136</v>
      </c>
    </row>
    <row r="17" customFormat="false" ht="15" hidden="false" customHeight="true" outlineLevel="0" collapsed="false">
      <c r="A17" s="25" t="s">
        <v>137</v>
      </c>
      <c r="B17" s="26" t="s">
        <v>119</v>
      </c>
      <c r="C17" s="26" t="s">
        <v>138</v>
      </c>
      <c r="D17" s="27" t="s">
        <v>15</v>
      </c>
      <c r="E17" s="26" t="s">
        <v>80</v>
      </c>
      <c r="F17" s="29" t="s">
        <v>7</v>
      </c>
      <c r="G17" s="26" t="s">
        <v>22</v>
      </c>
      <c r="H17" s="26" t="s">
        <v>139</v>
      </c>
      <c r="I17" s="26" t="s">
        <v>140</v>
      </c>
    </row>
    <row r="18" customFormat="false" ht="15" hidden="false" customHeight="true" outlineLevel="0" collapsed="false">
      <c r="A18" s="25" t="s">
        <v>141</v>
      </c>
      <c r="B18" s="26" t="s">
        <v>119</v>
      </c>
      <c r="C18" s="26" t="s">
        <v>142</v>
      </c>
      <c r="D18" s="27" t="s">
        <v>15</v>
      </c>
      <c r="E18" s="26" t="s">
        <v>80</v>
      </c>
      <c r="F18" s="29" t="s">
        <v>7</v>
      </c>
      <c r="G18" s="26" t="s">
        <v>22</v>
      </c>
      <c r="H18" s="26" t="s">
        <v>143</v>
      </c>
      <c r="I18" s="26" t="s">
        <v>144</v>
      </c>
    </row>
    <row r="19" customFormat="false" ht="15" hidden="false" customHeight="true" outlineLevel="0" collapsed="false">
      <c r="A19" s="25" t="s">
        <v>145</v>
      </c>
      <c r="B19" s="26" t="s">
        <v>119</v>
      </c>
      <c r="C19" s="26" t="s">
        <v>146</v>
      </c>
      <c r="D19" s="27" t="s">
        <v>15</v>
      </c>
      <c r="E19" s="26" t="s">
        <v>80</v>
      </c>
      <c r="F19" s="31" t="s">
        <v>7</v>
      </c>
      <c r="G19" s="26" t="s">
        <v>22</v>
      </c>
      <c r="H19" s="26" t="s">
        <v>147</v>
      </c>
      <c r="I19" s="26" t="s">
        <v>148</v>
      </c>
    </row>
    <row r="20" customFormat="false" ht="15" hidden="false" customHeight="true" outlineLevel="0" collapsed="false">
      <c r="A20" s="25" t="s">
        <v>149</v>
      </c>
      <c r="B20" s="26" t="s">
        <v>119</v>
      </c>
      <c r="C20" s="26" t="s">
        <v>150</v>
      </c>
      <c r="D20" s="27" t="s">
        <v>15</v>
      </c>
      <c r="E20" s="26" t="s">
        <v>80</v>
      </c>
      <c r="F20" s="31" t="s">
        <v>7</v>
      </c>
      <c r="G20" s="26" t="s">
        <v>22</v>
      </c>
      <c r="H20" s="26" t="s">
        <v>151</v>
      </c>
      <c r="I20" s="26" t="s">
        <v>152</v>
      </c>
    </row>
    <row r="21" customFormat="false" ht="15" hidden="false" customHeight="true" outlineLevel="0" collapsed="false">
      <c r="A21" s="25" t="s">
        <v>153</v>
      </c>
      <c r="B21" s="26" t="s">
        <v>119</v>
      </c>
      <c r="C21" s="26" t="s">
        <v>154</v>
      </c>
      <c r="D21" s="27" t="s">
        <v>15</v>
      </c>
      <c r="E21" s="26" t="s">
        <v>80</v>
      </c>
      <c r="F21" s="31" t="s">
        <v>7</v>
      </c>
      <c r="G21" s="26" t="s">
        <v>22</v>
      </c>
      <c r="H21" s="26" t="s">
        <v>155</v>
      </c>
      <c r="I21" s="26" t="s">
        <v>156</v>
      </c>
    </row>
    <row r="22" customFormat="false" ht="15" hidden="false" customHeight="true" outlineLevel="0" collapsed="false">
      <c r="A22" s="25" t="s">
        <v>157</v>
      </c>
      <c r="B22" s="26" t="s">
        <v>119</v>
      </c>
      <c r="C22" s="26" t="s">
        <v>158</v>
      </c>
      <c r="D22" s="27" t="s">
        <v>15</v>
      </c>
      <c r="E22" s="26" t="s">
        <v>80</v>
      </c>
      <c r="F22" s="28" t="s">
        <v>7</v>
      </c>
      <c r="G22" s="26" t="s">
        <v>22</v>
      </c>
      <c r="H22" s="26"/>
      <c r="I22" s="26" t="s">
        <v>159</v>
      </c>
    </row>
    <row r="23" customFormat="false" ht="15" hidden="false" customHeight="true" outlineLevel="0" collapsed="false">
      <c r="A23" s="25" t="s">
        <v>160</v>
      </c>
      <c r="B23" s="26" t="s">
        <v>119</v>
      </c>
      <c r="C23" s="26" t="s">
        <v>161</v>
      </c>
      <c r="D23" s="32" t="s">
        <v>17</v>
      </c>
      <c r="E23" s="26" t="s">
        <v>80</v>
      </c>
      <c r="F23" s="31" t="s">
        <v>7</v>
      </c>
      <c r="G23" s="26" t="s">
        <v>22</v>
      </c>
      <c r="H23" s="26" t="s">
        <v>162</v>
      </c>
      <c r="I23" s="26" t="s">
        <v>163</v>
      </c>
    </row>
    <row r="24" customFormat="false" ht="15" hidden="false" customHeight="true" outlineLevel="0" collapsed="false">
      <c r="A24" s="25" t="s">
        <v>164</v>
      </c>
      <c r="B24" s="26" t="s">
        <v>119</v>
      </c>
      <c r="C24" s="26" t="s">
        <v>165</v>
      </c>
      <c r="D24" s="30" t="s">
        <v>16</v>
      </c>
      <c r="E24" s="26" t="s">
        <v>80</v>
      </c>
      <c r="F24" s="31" t="s">
        <v>7</v>
      </c>
      <c r="G24" s="26" t="s">
        <v>22</v>
      </c>
      <c r="H24" s="26" t="s">
        <v>166</v>
      </c>
      <c r="I24" s="26" t="s">
        <v>167</v>
      </c>
    </row>
    <row r="25" customFormat="false" ht="23.25" hidden="false" customHeight="true" outlineLevel="0" collapsed="false">
      <c r="A25" s="25" t="s">
        <v>168</v>
      </c>
      <c r="B25" s="26" t="s">
        <v>169</v>
      </c>
      <c r="C25" s="26" t="s">
        <v>170</v>
      </c>
      <c r="D25" s="27" t="s">
        <v>15</v>
      </c>
      <c r="E25" s="26" t="s">
        <v>80</v>
      </c>
      <c r="F25" s="29" t="s">
        <v>7</v>
      </c>
      <c r="G25" s="26" t="s">
        <v>26</v>
      </c>
      <c r="H25" s="26" t="s">
        <v>171</v>
      </c>
      <c r="I25" s="26" t="s">
        <v>172</v>
      </c>
    </row>
    <row r="26" customFormat="false" ht="15" hidden="false" customHeight="true" outlineLevel="0" collapsed="false">
      <c r="A26" s="25" t="s">
        <v>173</v>
      </c>
      <c r="B26" s="26" t="s">
        <v>169</v>
      </c>
      <c r="C26" s="26" t="s">
        <v>174</v>
      </c>
      <c r="D26" s="27" t="s">
        <v>15</v>
      </c>
      <c r="E26" s="26" t="s">
        <v>80</v>
      </c>
      <c r="F26" s="29" t="s">
        <v>7</v>
      </c>
      <c r="G26" s="26" t="s">
        <v>26</v>
      </c>
      <c r="H26" s="26" t="s">
        <v>175</v>
      </c>
      <c r="I26" s="26" t="s">
        <v>176</v>
      </c>
    </row>
    <row r="27" customFormat="false" ht="15" hidden="false" customHeight="true" outlineLevel="0" collapsed="false">
      <c r="A27" s="25" t="s">
        <v>177</v>
      </c>
      <c r="B27" s="26" t="s">
        <v>169</v>
      </c>
      <c r="C27" s="26" t="s">
        <v>178</v>
      </c>
      <c r="D27" s="27" t="s">
        <v>15</v>
      </c>
      <c r="E27" s="26" t="s">
        <v>80</v>
      </c>
      <c r="F27" s="28" t="s">
        <v>7</v>
      </c>
      <c r="G27" s="26" t="s">
        <v>26</v>
      </c>
      <c r="H27" s="26"/>
      <c r="I27" s="26" t="s">
        <v>179</v>
      </c>
    </row>
    <row r="28" customFormat="false" ht="15" hidden="false" customHeight="true" outlineLevel="0" collapsed="false">
      <c r="A28" s="25" t="s">
        <v>180</v>
      </c>
      <c r="B28" s="26" t="s">
        <v>169</v>
      </c>
      <c r="C28" s="26" t="s">
        <v>181</v>
      </c>
      <c r="D28" s="30" t="s">
        <v>16</v>
      </c>
      <c r="E28" s="26" t="s">
        <v>80</v>
      </c>
      <c r="F28" s="31" t="s">
        <v>7</v>
      </c>
      <c r="G28" s="26" t="s">
        <v>26</v>
      </c>
      <c r="H28" s="26" t="s">
        <v>182</v>
      </c>
      <c r="I28" s="26" t="s">
        <v>183</v>
      </c>
    </row>
    <row r="29" customFormat="false" ht="15" hidden="false" customHeight="true" outlineLevel="0" collapsed="false">
      <c r="A29" s="25" t="s">
        <v>184</v>
      </c>
      <c r="B29" s="26" t="s">
        <v>169</v>
      </c>
      <c r="C29" s="26" t="s">
        <v>185</v>
      </c>
      <c r="D29" s="30" t="s">
        <v>16</v>
      </c>
      <c r="E29" s="26" t="s">
        <v>80</v>
      </c>
      <c r="F29" s="31" t="s">
        <v>7</v>
      </c>
      <c r="G29" s="26" t="s">
        <v>26</v>
      </c>
      <c r="H29" s="26" t="s">
        <v>186</v>
      </c>
      <c r="I29" s="26" t="s">
        <v>187</v>
      </c>
    </row>
    <row r="30" customFormat="false" ht="15" hidden="false" customHeight="true" outlineLevel="0" collapsed="false">
      <c r="A30" s="25" t="s">
        <v>188</v>
      </c>
      <c r="B30" s="26" t="s">
        <v>169</v>
      </c>
      <c r="C30" s="26" t="s">
        <v>189</v>
      </c>
      <c r="D30" s="30" t="s">
        <v>16</v>
      </c>
      <c r="E30" s="26" t="s">
        <v>80</v>
      </c>
      <c r="F30" s="31" t="s">
        <v>7</v>
      </c>
      <c r="G30" s="26" t="s">
        <v>26</v>
      </c>
      <c r="H30" s="26" t="s">
        <v>190</v>
      </c>
      <c r="I30" s="26" t="s">
        <v>191</v>
      </c>
    </row>
    <row r="31" customFormat="false" ht="15" hidden="false" customHeight="true" outlineLevel="0" collapsed="false">
      <c r="A31" s="25" t="s">
        <v>192</v>
      </c>
      <c r="B31" s="26" t="s">
        <v>193</v>
      </c>
      <c r="C31" s="26" t="s">
        <v>194</v>
      </c>
      <c r="D31" s="27" t="s">
        <v>15</v>
      </c>
      <c r="E31" s="26" t="s">
        <v>80</v>
      </c>
      <c r="F31" s="31" t="s">
        <v>7</v>
      </c>
      <c r="G31" s="26" t="s">
        <v>23</v>
      </c>
      <c r="H31" s="26" t="s">
        <v>195</v>
      </c>
      <c r="I31" s="26" t="s">
        <v>196</v>
      </c>
    </row>
    <row r="32" customFormat="false" ht="15" hidden="false" customHeight="true" outlineLevel="0" collapsed="false">
      <c r="A32" s="25" t="s">
        <v>197</v>
      </c>
      <c r="B32" s="26" t="s">
        <v>193</v>
      </c>
      <c r="C32" s="26" t="s">
        <v>198</v>
      </c>
      <c r="D32" s="27" t="s">
        <v>15</v>
      </c>
      <c r="E32" s="26" t="s">
        <v>80</v>
      </c>
      <c r="F32" s="31" t="s">
        <v>7</v>
      </c>
      <c r="G32" s="26" t="s">
        <v>23</v>
      </c>
      <c r="H32" s="26" t="s">
        <v>199</v>
      </c>
      <c r="I32" s="26" t="s">
        <v>200</v>
      </c>
    </row>
    <row r="33" customFormat="false" ht="15" hidden="false" customHeight="true" outlineLevel="0" collapsed="false">
      <c r="A33" s="25" t="s">
        <v>201</v>
      </c>
      <c r="B33" s="26" t="s">
        <v>193</v>
      </c>
      <c r="C33" s="26" t="s">
        <v>202</v>
      </c>
      <c r="D33" s="27" t="s">
        <v>15</v>
      </c>
      <c r="E33" s="26" t="s">
        <v>80</v>
      </c>
      <c r="F33" s="31" t="s">
        <v>7</v>
      </c>
      <c r="G33" s="26" t="s">
        <v>23</v>
      </c>
      <c r="H33" s="26" t="s">
        <v>203</v>
      </c>
      <c r="I33" s="26" t="s">
        <v>204</v>
      </c>
    </row>
    <row r="34" customFormat="false" ht="23.25" hidden="false" customHeight="true" outlineLevel="0" collapsed="false">
      <c r="A34" s="25" t="s">
        <v>205</v>
      </c>
      <c r="B34" s="26" t="s">
        <v>193</v>
      </c>
      <c r="C34" s="26" t="s">
        <v>206</v>
      </c>
      <c r="D34" s="27" t="s">
        <v>15</v>
      </c>
      <c r="E34" s="26" t="s">
        <v>80</v>
      </c>
      <c r="F34" s="29" t="s">
        <v>7</v>
      </c>
      <c r="G34" s="26" t="s">
        <v>23</v>
      </c>
      <c r="H34" s="26" t="s">
        <v>207</v>
      </c>
      <c r="I34" s="26" t="s">
        <v>208</v>
      </c>
    </row>
    <row r="35" customFormat="false" ht="15" hidden="false" customHeight="true" outlineLevel="0" collapsed="false">
      <c r="A35" s="25" t="s">
        <v>209</v>
      </c>
      <c r="B35" s="26" t="s">
        <v>193</v>
      </c>
      <c r="C35" s="26" t="s">
        <v>210</v>
      </c>
      <c r="D35" s="27" t="s">
        <v>15</v>
      </c>
      <c r="E35" s="26" t="s">
        <v>80</v>
      </c>
      <c r="F35" s="31" t="s">
        <v>7</v>
      </c>
      <c r="G35" s="26" t="s">
        <v>23</v>
      </c>
      <c r="H35" s="26" t="s">
        <v>211</v>
      </c>
      <c r="I35" s="26" t="s">
        <v>212</v>
      </c>
    </row>
    <row r="36" customFormat="false" ht="15" hidden="false" customHeight="true" outlineLevel="0" collapsed="false">
      <c r="A36" s="25" t="s">
        <v>213</v>
      </c>
      <c r="B36" s="26" t="s">
        <v>193</v>
      </c>
      <c r="C36" s="26" t="s">
        <v>214</v>
      </c>
      <c r="D36" s="27" t="s">
        <v>15</v>
      </c>
      <c r="E36" s="26" t="s">
        <v>80</v>
      </c>
      <c r="F36" s="31" t="s">
        <v>7</v>
      </c>
      <c r="G36" s="26" t="s">
        <v>23</v>
      </c>
      <c r="H36" s="26" t="s">
        <v>215</v>
      </c>
      <c r="I36" s="26" t="s">
        <v>216</v>
      </c>
    </row>
    <row r="37" customFormat="false" ht="15" hidden="false" customHeight="true" outlineLevel="0" collapsed="false">
      <c r="A37" s="25" t="s">
        <v>217</v>
      </c>
      <c r="B37" s="26" t="s">
        <v>193</v>
      </c>
      <c r="C37" s="26" t="s">
        <v>218</v>
      </c>
      <c r="D37" s="27" t="s">
        <v>15</v>
      </c>
      <c r="E37" s="26" t="s">
        <v>80</v>
      </c>
      <c r="F37" s="29" t="s">
        <v>7</v>
      </c>
      <c r="G37" s="26" t="s">
        <v>23</v>
      </c>
      <c r="H37" s="26" t="s">
        <v>219</v>
      </c>
      <c r="I37" s="26" t="s">
        <v>220</v>
      </c>
    </row>
    <row r="38" customFormat="false" ht="15" hidden="false" customHeight="true" outlineLevel="0" collapsed="false">
      <c r="A38" s="25" t="s">
        <v>221</v>
      </c>
      <c r="B38" s="26" t="s">
        <v>193</v>
      </c>
      <c r="C38" s="26" t="s">
        <v>222</v>
      </c>
      <c r="D38" s="30" t="s">
        <v>16</v>
      </c>
      <c r="E38" s="26" t="s">
        <v>80</v>
      </c>
      <c r="F38" s="31" t="s">
        <v>7</v>
      </c>
      <c r="G38" s="26" t="s">
        <v>23</v>
      </c>
      <c r="H38" s="26" t="s">
        <v>223</v>
      </c>
      <c r="I38" s="26" t="s">
        <v>224</v>
      </c>
    </row>
    <row r="39" customFormat="false" ht="15" hidden="false" customHeight="true" outlineLevel="0" collapsed="false">
      <c r="A39" s="25" t="s">
        <v>225</v>
      </c>
      <c r="B39" s="26" t="s">
        <v>193</v>
      </c>
      <c r="C39" s="26" t="s">
        <v>226</v>
      </c>
      <c r="D39" s="27" t="s">
        <v>15</v>
      </c>
      <c r="E39" s="26" t="s">
        <v>80</v>
      </c>
      <c r="F39" s="31" t="s">
        <v>7</v>
      </c>
      <c r="G39" s="26" t="s">
        <v>23</v>
      </c>
      <c r="H39" s="26" t="s">
        <v>227</v>
      </c>
      <c r="I39" s="26" t="s">
        <v>228</v>
      </c>
    </row>
    <row r="40" customFormat="false" ht="15" hidden="false" customHeight="true" outlineLevel="0" collapsed="false">
      <c r="A40" s="25" t="s">
        <v>229</v>
      </c>
      <c r="B40" s="26" t="s">
        <v>193</v>
      </c>
      <c r="C40" s="26" t="s">
        <v>230</v>
      </c>
      <c r="D40" s="32" t="s">
        <v>17</v>
      </c>
      <c r="E40" s="26" t="s">
        <v>231</v>
      </c>
      <c r="F40" s="33" t="s">
        <v>10</v>
      </c>
      <c r="G40" s="26"/>
      <c r="H40" s="26"/>
      <c r="I40" s="26" t="s">
        <v>232</v>
      </c>
    </row>
    <row r="41" customFormat="false" ht="15" hidden="false" customHeight="true" outlineLevel="0" collapsed="false">
      <c r="A41" s="25" t="s">
        <v>233</v>
      </c>
      <c r="B41" s="26" t="s">
        <v>234</v>
      </c>
      <c r="C41" s="26" t="s">
        <v>235</v>
      </c>
      <c r="D41" s="27" t="s">
        <v>15</v>
      </c>
      <c r="E41" s="26" t="s">
        <v>80</v>
      </c>
      <c r="F41" s="29" t="s">
        <v>7</v>
      </c>
      <c r="G41" s="26" t="s">
        <v>24</v>
      </c>
      <c r="H41" s="26" t="s">
        <v>236</v>
      </c>
      <c r="I41" s="26" t="s">
        <v>237</v>
      </c>
    </row>
    <row r="42" customFormat="false" ht="15" hidden="false" customHeight="true" outlineLevel="0" collapsed="false">
      <c r="A42" s="25" t="s">
        <v>238</v>
      </c>
      <c r="B42" s="26" t="s">
        <v>234</v>
      </c>
      <c r="C42" s="26" t="s">
        <v>239</v>
      </c>
      <c r="D42" s="27" t="s">
        <v>15</v>
      </c>
      <c r="E42" s="26" t="s">
        <v>80</v>
      </c>
      <c r="F42" s="29" t="s">
        <v>7</v>
      </c>
      <c r="G42" s="26" t="s">
        <v>24</v>
      </c>
      <c r="H42" s="26" t="s">
        <v>240</v>
      </c>
      <c r="I42" s="26" t="s">
        <v>241</v>
      </c>
    </row>
    <row r="43" customFormat="false" ht="15" hidden="false" customHeight="true" outlineLevel="0" collapsed="false">
      <c r="A43" s="25" t="s">
        <v>242</v>
      </c>
      <c r="B43" s="26" t="s">
        <v>234</v>
      </c>
      <c r="C43" s="26" t="s">
        <v>243</v>
      </c>
      <c r="D43" s="27" t="s">
        <v>15</v>
      </c>
      <c r="E43" s="26" t="s">
        <v>80</v>
      </c>
      <c r="F43" s="29" t="s">
        <v>7</v>
      </c>
      <c r="G43" s="26" t="s">
        <v>24</v>
      </c>
      <c r="H43" s="26" t="s">
        <v>244</v>
      </c>
      <c r="I43" s="26" t="s">
        <v>245</v>
      </c>
    </row>
    <row r="44" customFormat="false" ht="15" hidden="false" customHeight="true" outlineLevel="0" collapsed="false">
      <c r="A44" s="25" t="s">
        <v>246</v>
      </c>
      <c r="B44" s="26" t="s">
        <v>234</v>
      </c>
      <c r="C44" s="26" t="s">
        <v>247</v>
      </c>
      <c r="D44" s="27" t="s">
        <v>15</v>
      </c>
      <c r="E44" s="26" t="s">
        <v>80</v>
      </c>
      <c r="F44" s="31" t="s">
        <v>7</v>
      </c>
      <c r="G44" s="26" t="s">
        <v>24</v>
      </c>
      <c r="H44" s="26" t="s">
        <v>248</v>
      </c>
      <c r="I44" s="26" t="s">
        <v>249</v>
      </c>
    </row>
    <row r="45" customFormat="false" ht="15" hidden="false" customHeight="true" outlineLevel="0" collapsed="false">
      <c r="A45" s="25" t="s">
        <v>250</v>
      </c>
      <c r="B45" s="26" t="s">
        <v>234</v>
      </c>
      <c r="C45" s="26" t="s">
        <v>251</v>
      </c>
      <c r="D45" s="27" t="s">
        <v>15</v>
      </c>
      <c r="E45" s="26" t="s">
        <v>80</v>
      </c>
      <c r="F45" s="31" t="s">
        <v>7</v>
      </c>
      <c r="G45" s="26" t="s">
        <v>24</v>
      </c>
      <c r="H45" s="26" t="s">
        <v>252</v>
      </c>
      <c r="I45" s="26" t="s">
        <v>253</v>
      </c>
    </row>
    <row r="46" customFormat="false" ht="15" hidden="false" customHeight="true" outlineLevel="0" collapsed="false">
      <c r="A46" s="25" t="s">
        <v>254</v>
      </c>
      <c r="B46" s="26" t="s">
        <v>234</v>
      </c>
      <c r="C46" s="26" t="s">
        <v>255</v>
      </c>
      <c r="D46" s="30" t="s">
        <v>16</v>
      </c>
      <c r="E46" s="26" t="s">
        <v>80</v>
      </c>
      <c r="F46" s="29" t="s">
        <v>7</v>
      </c>
      <c r="G46" s="26" t="s">
        <v>24</v>
      </c>
      <c r="H46" s="26" t="s">
        <v>256</v>
      </c>
      <c r="I46" s="26" t="s">
        <v>257</v>
      </c>
    </row>
    <row r="47" customFormat="false" ht="15" hidden="false" customHeight="true" outlineLevel="0" collapsed="false">
      <c r="A47" s="25" t="s">
        <v>258</v>
      </c>
      <c r="B47" s="26" t="s">
        <v>234</v>
      </c>
      <c r="C47" s="26" t="s">
        <v>259</v>
      </c>
      <c r="D47" s="30" t="s">
        <v>16</v>
      </c>
      <c r="E47" s="26" t="s">
        <v>80</v>
      </c>
      <c r="F47" s="31" t="s">
        <v>7</v>
      </c>
      <c r="G47" s="26" t="s">
        <v>24</v>
      </c>
      <c r="H47" s="26" t="s">
        <v>260</v>
      </c>
      <c r="I47" s="26" t="s">
        <v>261</v>
      </c>
    </row>
    <row r="48" customFormat="false" ht="15" hidden="false" customHeight="true" outlineLevel="0" collapsed="false">
      <c r="A48" s="25" t="s">
        <v>262</v>
      </c>
      <c r="B48" s="26" t="s">
        <v>234</v>
      </c>
      <c r="C48" s="26" t="s">
        <v>263</v>
      </c>
      <c r="D48" s="30" t="s">
        <v>16</v>
      </c>
      <c r="E48" s="26" t="s">
        <v>80</v>
      </c>
      <c r="F48" s="31" t="s">
        <v>7</v>
      </c>
      <c r="G48" s="26" t="s">
        <v>24</v>
      </c>
      <c r="H48" s="26" t="s">
        <v>264</v>
      </c>
      <c r="I48" s="26" t="s">
        <v>265</v>
      </c>
    </row>
    <row r="49" customFormat="false" ht="15" hidden="false" customHeight="true" outlineLevel="0" collapsed="false">
      <c r="A49" s="25" t="s">
        <v>266</v>
      </c>
      <c r="B49" s="26" t="s">
        <v>234</v>
      </c>
      <c r="C49" s="26" t="s">
        <v>267</v>
      </c>
      <c r="D49" s="27" t="s">
        <v>15</v>
      </c>
      <c r="E49" s="26" t="s">
        <v>80</v>
      </c>
      <c r="F49" s="28" t="s">
        <v>7</v>
      </c>
      <c r="G49" s="26" t="s">
        <v>24</v>
      </c>
      <c r="H49" s="26"/>
      <c r="I49" s="26" t="s">
        <v>268</v>
      </c>
    </row>
    <row r="50" customFormat="false" ht="15" hidden="false" customHeight="true" outlineLevel="0" collapsed="false">
      <c r="A50" s="25" t="s">
        <v>269</v>
      </c>
      <c r="B50" s="26" t="s">
        <v>270</v>
      </c>
      <c r="C50" s="26" t="s">
        <v>271</v>
      </c>
      <c r="D50" s="27" t="s">
        <v>15</v>
      </c>
      <c r="E50" s="26" t="s">
        <v>80</v>
      </c>
      <c r="F50" s="29" t="s">
        <v>7</v>
      </c>
      <c r="G50" s="26" t="s">
        <v>24</v>
      </c>
      <c r="H50" s="26" t="s">
        <v>272</v>
      </c>
      <c r="I50" s="26" t="s">
        <v>273</v>
      </c>
    </row>
    <row r="51" customFormat="false" ht="15" hidden="false" customHeight="true" outlineLevel="0" collapsed="false">
      <c r="A51" s="25" t="s">
        <v>274</v>
      </c>
      <c r="B51" s="26" t="s">
        <v>270</v>
      </c>
      <c r="C51" s="26" t="s">
        <v>275</v>
      </c>
      <c r="D51" s="27" t="s">
        <v>15</v>
      </c>
      <c r="E51" s="26" t="s">
        <v>80</v>
      </c>
      <c r="F51" s="31" t="s">
        <v>7</v>
      </c>
      <c r="G51" s="26" t="s">
        <v>24</v>
      </c>
      <c r="H51" s="26" t="s">
        <v>276</v>
      </c>
      <c r="I51" s="26" t="s">
        <v>277</v>
      </c>
    </row>
    <row r="52" customFormat="false" ht="15" hidden="false" customHeight="true" outlineLevel="0" collapsed="false">
      <c r="A52" s="25" t="s">
        <v>278</v>
      </c>
      <c r="B52" s="26" t="s">
        <v>270</v>
      </c>
      <c r="C52" s="26" t="s">
        <v>279</v>
      </c>
      <c r="D52" s="30" t="s">
        <v>16</v>
      </c>
      <c r="E52" s="26" t="s">
        <v>80</v>
      </c>
      <c r="F52" s="31" t="s">
        <v>7</v>
      </c>
      <c r="G52" s="26" t="s">
        <v>24</v>
      </c>
      <c r="H52" s="26" t="s">
        <v>280</v>
      </c>
      <c r="I52" s="26" t="s">
        <v>281</v>
      </c>
    </row>
    <row r="53" customFormat="false" ht="15" hidden="false" customHeight="true" outlineLevel="0" collapsed="false">
      <c r="A53" s="25" t="s">
        <v>282</v>
      </c>
      <c r="B53" s="26" t="s">
        <v>270</v>
      </c>
      <c r="C53" s="26" t="s">
        <v>283</v>
      </c>
      <c r="D53" s="30" t="s">
        <v>16</v>
      </c>
      <c r="E53" s="26" t="s">
        <v>80</v>
      </c>
      <c r="F53" s="31" t="s">
        <v>7</v>
      </c>
      <c r="G53" s="26" t="s">
        <v>24</v>
      </c>
      <c r="H53" s="26" t="s">
        <v>284</v>
      </c>
      <c r="I53" s="26" t="s">
        <v>285</v>
      </c>
    </row>
    <row r="54" customFormat="false" ht="15" hidden="false" customHeight="true" outlineLevel="0" collapsed="false">
      <c r="A54" s="25" t="s">
        <v>286</v>
      </c>
      <c r="B54" s="26" t="s">
        <v>270</v>
      </c>
      <c r="C54" s="26" t="s">
        <v>287</v>
      </c>
      <c r="D54" s="27" t="s">
        <v>15</v>
      </c>
      <c r="E54" s="26" t="s">
        <v>80</v>
      </c>
      <c r="F54" s="31" t="s">
        <v>7</v>
      </c>
      <c r="G54" s="26" t="s">
        <v>24</v>
      </c>
      <c r="H54" s="26" t="s">
        <v>288</v>
      </c>
      <c r="I54" s="26" t="s">
        <v>289</v>
      </c>
    </row>
    <row r="55" customFormat="false" ht="15" hidden="false" customHeight="true" outlineLevel="0" collapsed="false">
      <c r="A55" s="25" t="s">
        <v>290</v>
      </c>
      <c r="B55" s="26" t="s">
        <v>291</v>
      </c>
      <c r="C55" s="26" t="s">
        <v>292</v>
      </c>
      <c r="D55" s="27" t="s">
        <v>15</v>
      </c>
      <c r="E55" s="26" t="s">
        <v>80</v>
      </c>
      <c r="F55" s="28" t="s">
        <v>7</v>
      </c>
      <c r="G55" s="26" t="s">
        <v>27</v>
      </c>
      <c r="H55" s="26"/>
      <c r="I55" s="26" t="s">
        <v>293</v>
      </c>
    </row>
    <row r="56" customFormat="false" ht="15" hidden="false" customHeight="true" outlineLevel="0" collapsed="false">
      <c r="A56" s="25" t="s">
        <v>294</v>
      </c>
      <c r="B56" s="26" t="s">
        <v>291</v>
      </c>
      <c r="C56" s="26" t="s">
        <v>295</v>
      </c>
      <c r="D56" s="27" t="s">
        <v>15</v>
      </c>
      <c r="E56" s="26" t="s">
        <v>80</v>
      </c>
      <c r="F56" s="28" t="s">
        <v>7</v>
      </c>
      <c r="G56" s="26" t="s">
        <v>27</v>
      </c>
      <c r="H56" s="26"/>
      <c r="I56" s="26" t="s">
        <v>296</v>
      </c>
    </row>
    <row r="57" customFormat="false" ht="15" hidden="false" customHeight="true" outlineLevel="0" collapsed="false">
      <c r="A57" s="25" t="s">
        <v>297</v>
      </c>
      <c r="B57" s="26" t="s">
        <v>291</v>
      </c>
      <c r="C57" s="26" t="s">
        <v>298</v>
      </c>
      <c r="D57" s="27" t="s">
        <v>15</v>
      </c>
      <c r="E57" s="26" t="s">
        <v>80</v>
      </c>
      <c r="F57" s="28" t="s">
        <v>7</v>
      </c>
      <c r="G57" s="26" t="s">
        <v>27</v>
      </c>
      <c r="H57" s="26"/>
      <c r="I57" s="26" t="s">
        <v>299</v>
      </c>
    </row>
    <row r="58" customFormat="false" ht="15" hidden="false" customHeight="true" outlineLevel="0" collapsed="false">
      <c r="A58" s="25" t="s">
        <v>300</v>
      </c>
      <c r="B58" s="26" t="s">
        <v>291</v>
      </c>
      <c r="C58" s="26" t="s">
        <v>301</v>
      </c>
      <c r="D58" s="27" t="s">
        <v>15</v>
      </c>
      <c r="E58" s="26" t="s">
        <v>80</v>
      </c>
      <c r="F58" s="28" t="s">
        <v>7</v>
      </c>
      <c r="G58" s="26" t="s">
        <v>27</v>
      </c>
      <c r="H58" s="26"/>
      <c r="I58" s="26" t="s">
        <v>302</v>
      </c>
    </row>
    <row r="59" customFormat="false" ht="15" hidden="false" customHeight="true" outlineLevel="0" collapsed="false">
      <c r="A59" s="25" t="s">
        <v>303</v>
      </c>
      <c r="B59" s="26" t="s">
        <v>291</v>
      </c>
      <c r="C59" s="26" t="s">
        <v>304</v>
      </c>
      <c r="D59" s="27" t="s">
        <v>15</v>
      </c>
      <c r="E59" s="26" t="s">
        <v>80</v>
      </c>
      <c r="F59" s="29" t="s">
        <v>7</v>
      </c>
      <c r="G59" s="26" t="s">
        <v>27</v>
      </c>
      <c r="H59" s="26" t="s">
        <v>305</v>
      </c>
      <c r="I59" s="26" t="s">
        <v>306</v>
      </c>
    </row>
    <row r="60" customFormat="false" ht="15" hidden="false" customHeight="true" outlineLevel="0" collapsed="false">
      <c r="A60" s="25" t="s">
        <v>307</v>
      </c>
      <c r="B60" s="26" t="s">
        <v>291</v>
      </c>
      <c r="C60" s="26" t="s">
        <v>308</v>
      </c>
      <c r="D60" s="27" t="s">
        <v>15</v>
      </c>
      <c r="E60" s="26" t="s">
        <v>80</v>
      </c>
      <c r="F60" s="29" t="s">
        <v>7</v>
      </c>
      <c r="G60" s="26" t="s">
        <v>27</v>
      </c>
      <c r="H60" s="26" t="s">
        <v>309</v>
      </c>
      <c r="I60" s="26" t="s">
        <v>310</v>
      </c>
    </row>
    <row r="61" customFormat="false" ht="15" hidden="false" customHeight="true" outlineLevel="0" collapsed="false">
      <c r="A61" s="25" t="s">
        <v>311</v>
      </c>
      <c r="B61" s="26" t="s">
        <v>291</v>
      </c>
      <c r="C61" s="26" t="s">
        <v>312</v>
      </c>
      <c r="D61" s="30" t="s">
        <v>16</v>
      </c>
      <c r="E61" s="26" t="s">
        <v>80</v>
      </c>
      <c r="F61" s="31" t="s">
        <v>7</v>
      </c>
      <c r="G61" s="26" t="s">
        <v>27</v>
      </c>
      <c r="H61" s="26" t="s">
        <v>313</v>
      </c>
      <c r="I61" s="26" t="s">
        <v>314</v>
      </c>
    </row>
    <row r="62" customFormat="false" ht="15" hidden="false" customHeight="true" outlineLevel="0" collapsed="false">
      <c r="A62" s="25" t="s">
        <v>315</v>
      </c>
      <c r="B62" s="26" t="s">
        <v>291</v>
      </c>
      <c r="C62" s="26" t="s">
        <v>316</v>
      </c>
      <c r="D62" s="27" t="s">
        <v>15</v>
      </c>
      <c r="E62" s="26" t="s">
        <v>80</v>
      </c>
      <c r="F62" s="29" t="s">
        <v>7</v>
      </c>
      <c r="G62" s="26" t="s">
        <v>27</v>
      </c>
      <c r="H62" s="26" t="s">
        <v>317</v>
      </c>
      <c r="I62" s="26" t="s">
        <v>318</v>
      </c>
    </row>
    <row r="63" customFormat="false" ht="15" hidden="false" customHeight="true" outlineLevel="0" collapsed="false">
      <c r="A63" s="25" t="s">
        <v>319</v>
      </c>
      <c r="B63" s="26" t="s">
        <v>291</v>
      </c>
      <c r="C63" s="26" t="s">
        <v>320</v>
      </c>
      <c r="D63" s="27" t="s">
        <v>15</v>
      </c>
      <c r="E63" s="26" t="s">
        <v>231</v>
      </c>
      <c r="F63" s="33" t="s">
        <v>10</v>
      </c>
      <c r="G63" s="26"/>
      <c r="H63" s="26"/>
      <c r="I63" s="26" t="s">
        <v>321</v>
      </c>
    </row>
    <row r="64" customFormat="false" ht="15" hidden="false" customHeight="true" outlineLevel="0" collapsed="false">
      <c r="A64" s="25" t="s">
        <v>322</v>
      </c>
      <c r="B64" s="26" t="s">
        <v>323</v>
      </c>
      <c r="C64" s="26" t="s">
        <v>324</v>
      </c>
      <c r="D64" s="27" t="s">
        <v>15</v>
      </c>
      <c r="E64" s="26" t="s">
        <v>80</v>
      </c>
      <c r="F64" s="28" t="s">
        <v>7</v>
      </c>
      <c r="G64" s="26" t="s">
        <v>28</v>
      </c>
      <c r="H64" s="26"/>
      <c r="I64" s="26" t="s">
        <v>325</v>
      </c>
    </row>
    <row r="65" customFormat="false" ht="15" hidden="false" customHeight="true" outlineLevel="0" collapsed="false">
      <c r="A65" s="25" t="s">
        <v>326</v>
      </c>
      <c r="B65" s="26" t="s">
        <v>323</v>
      </c>
      <c r="C65" s="26" t="s">
        <v>327</v>
      </c>
      <c r="D65" s="30" t="s">
        <v>16</v>
      </c>
      <c r="E65" s="26" t="s">
        <v>80</v>
      </c>
      <c r="F65" s="29" t="s">
        <v>7</v>
      </c>
      <c r="G65" s="26" t="s">
        <v>28</v>
      </c>
      <c r="H65" s="26" t="s">
        <v>328</v>
      </c>
      <c r="I65" s="26" t="s">
        <v>329</v>
      </c>
    </row>
    <row r="66" customFormat="false" ht="15" hidden="false" customHeight="true" outlineLevel="0" collapsed="false">
      <c r="A66" s="25" t="s">
        <v>330</v>
      </c>
      <c r="B66" s="26" t="s">
        <v>323</v>
      </c>
      <c r="C66" s="26" t="s">
        <v>331</v>
      </c>
      <c r="D66" s="30" t="s">
        <v>16</v>
      </c>
      <c r="E66" s="26" t="s">
        <v>80</v>
      </c>
      <c r="F66" s="31" t="s">
        <v>7</v>
      </c>
      <c r="G66" s="26" t="s">
        <v>28</v>
      </c>
      <c r="H66" s="26" t="s">
        <v>332</v>
      </c>
      <c r="I66" s="26" t="s">
        <v>333</v>
      </c>
    </row>
    <row r="67" customFormat="false" ht="15" hidden="false" customHeight="true" outlineLevel="0" collapsed="false">
      <c r="A67" s="25" t="s">
        <v>334</v>
      </c>
      <c r="B67" s="26" t="s">
        <v>323</v>
      </c>
      <c r="C67" s="26" t="s">
        <v>335</v>
      </c>
      <c r="D67" s="27" t="s">
        <v>15</v>
      </c>
      <c r="E67" s="26" t="s">
        <v>231</v>
      </c>
      <c r="F67" s="33" t="s">
        <v>10</v>
      </c>
      <c r="G67" s="26"/>
      <c r="H67" s="26"/>
      <c r="I67" s="26" t="s">
        <v>336</v>
      </c>
    </row>
    <row r="68" customFormat="false" ht="15" hidden="false" customHeight="true" outlineLevel="0" collapsed="false">
      <c r="A68" s="25" t="s">
        <v>337</v>
      </c>
      <c r="B68" s="26" t="s">
        <v>338</v>
      </c>
      <c r="C68" s="26" t="s">
        <v>339</v>
      </c>
      <c r="D68" s="27" t="s">
        <v>15</v>
      </c>
      <c r="E68" s="26" t="s">
        <v>80</v>
      </c>
      <c r="F68" s="29" t="s">
        <v>7</v>
      </c>
      <c r="G68" s="26" t="s">
        <v>28</v>
      </c>
      <c r="H68" s="26" t="s">
        <v>340</v>
      </c>
      <c r="I68" s="26" t="s">
        <v>341</v>
      </c>
    </row>
    <row r="69" customFormat="false" ht="15" hidden="false" customHeight="true" outlineLevel="0" collapsed="false">
      <c r="A69" s="25" t="s">
        <v>342</v>
      </c>
      <c r="B69" s="26" t="s">
        <v>338</v>
      </c>
      <c r="C69" s="26" t="s">
        <v>343</v>
      </c>
      <c r="D69" s="27" t="s">
        <v>15</v>
      </c>
      <c r="E69" s="26" t="s">
        <v>80</v>
      </c>
      <c r="F69" s="28" t="s">
        <v>7</v>
      </c>
      <c r="G69" s="26" t="s">
        <v>28</v>
      </c>
      <c r="H69" s="26"/>
      <c r="I69" s="26" t="s">
        <v>344</v>
      </c>
    </row>
    <row r="70" customFormat="false" ht="15" hidden="false" customHeight="true" outlineLevel="0" collapsed="false">
      <c r="A70" s="25" t="s">
        <v>345</v>
      </c>
      <c r="B70" s="26" t="s">
        <v>338</v>
      </c>
      <c r="C70" s="26" t="s">
        <v>346</v>
      </c>
      <c r="D70" s="27" t="s">
        <v>15</v>
      </c>
      <c r="E70" s="26" t="s">
        <v>80</v>
      </c>
      <c r="F70" s="31" t="s">
        <v>7</v>
      </c>
      <c r="G70" s="26" t="s">
        <v>28</v>
      </c>
      <c r="H70" s="26" t="s">
        <v>347</v>
      </c>
      <c r="I70" s="26" t="s">
        <v>348</v>
      </c>
    </row>
    <row r="71" customFormat="false" ht="15" hidden="false" customHeight="true" outlineLevel="0" collapsed="false">
      <c r="A71" s="25" t="s">
        <v>349</v>
      </c>
      <c r="B71" s="26" t="s">
        <v>338</v>
      </c>
      <c r="C71" s="26" t="s">
        <v>350</v>
      </c>
      <c r="D71" s="30" t="s">
        <v>16</v>
      </c>
      <c r="E71" s="26" t="s">
        <v>80</v>
      </c>
      <c r="F71" s="29" t="s">
        <v>7</v>
      </c>
      <c r="G71" s="26" t="s">
        <v>28</v>
      </c>
      <c r="H71" s="26" t="s">
        <v>351</v>
      </c>
      <c r="I71" s="26" t="s">
        <v>352</v>
      </c>
    </row>
    <row r="72" customFormat="false" ht="15" hidden="false" customHeight="true" outlineLevel="0" collapsed="false">
      <c r="A72" s="25" t="s">
        <v>353</v>
      </c>
      <c r="B72" s="26" t="s">
        <v>338</v>
      </c>
      <c r="C72" s="26" t="s">
        <v>354</v>
      </c>
      <c r="D72" s="27" t="s">
        <v>15</v>
      </c>
      <c r="E72" s="26" t="s">
        <v>231</v>
      </c>
      <c r="F72" s="33" t="s">
        <v>10</v>
      </c>
      <c r="G72" s="26"/>
      <c r="H72" s="26"/>
      <c r="I72" s="26" t="s">
        <v>355</v>
      </c>
    </row>
    <row r="73" customFormat="false" ht="15" hidden="false" customHeight="true" outlineLevel="0" collapsed="false">
      <c r="A73" s="25" t="s">
        <v>356</v>
      </c>
      <c r="B73" s="26" t="s">
        <v>357</v>
      </c>
      <c r="C73" s="26" t="s">
        <v>358</v>
      </c>
      <c r="D73" s="27" t="s">
        <v>15</v>
      </c>
      <c r="E73" s="26" t="s">
        <v>80</v>
      </c>
      <c r="F73" s="29" t="s">
        <v>7</v>
      </c>
      <c r="G73" s="26" t="s">
        <v>27</v>
      </c>
      <c r="H73" s="26" t="s">
        <v>359</v>
      </c>
      <c r="I73" s="26" t="s">
        <v>360</v>
      </c>
    </row>
    <row r="74" customFormat="false" ht="15" hidden="false" customHeight="true" outlineLevel="0" collapsed="false">
      <c r="A74" s="25" t="s">
        <v>361</v>
      </c>
      <c r="B74" s="26" t="s">
        <v>357</v>
      </c>
      <c r="C74" s="26" t="s">
        <v>362</v>
      </c>
      <c r="D74" s="27" t="s">
        <v>15</v>
      </c>
      <c r="E74" s="26" t="s">
        <v>80</v>
      </c>
      <c r="F74" s="28" t="s">
        <v>7</v>
      </c>
      <c r="G74" s="26" t="s">
        <v>27</v>
      </c>
      <c r="H74" s="26"/>
      <c r="I74" s="26" t="s">
        <v>363</v>
      </c>
    </row>
    <row r="75" customFormat="false" ht="15" hidden="false" customHeight="true" outlineLevel="0" collapsed="false">
      <c r="A75" s="25" t="s">
        <v>364</v>
      </c>
      <c r="B75" s="26" t="s">
        <v>357</v>
      </c>
      <c r="C75" s="26" t="s">
        <v>365</v>
      </c>
      <c r="D75" s="27" t="s">
        <v>15</v>
      </c>
      <c r="E75" s="26" t="s">
        <v>80</v>
      </c>
      <c r="F75" s="31" t="s">
        <v>7</v>
      </c>
      <c r="G75" s="26" t="s">
        <v>27</v>
      </c>
      <c r="H75" s="26" t="s">
        <v>366</v>
      </c>
      <c r="I75" s="26" t="s">
        <v>367</v>
      </c>
    </row>
    <row r="76" customFormat="false" ht="15" hidden="false" customHeight="true" outlineLevel="0" collapsed="false">
      <c r="A76" s="25" t="s">
        <v>368</v>
      </c>
      <c r="B76" s="26" t="s">
        <v>369</v>
      </c>
      <c r="C76" s="26" t="s">
        <v>370</v>
      </c>
      <c r="D76" s="27" t="s">
        <v>15</v>
      </c>
      <c r="E76" s="26" t="s">
        <v>80</v>
      </c>
      <c r="F76" s="29" t="s">
        <v>7</v>
      </c>
      <c r="G76" s="26" t="s">
        <v>27</v>
      </c>
      <c r="H76" s="26" t="s">
        <v>371</v>
      </c>
      <c r="I76" s="26" t="s">
        <v>372</v>
      </c>
    </row>
    <row r="77" customFormat="false" ht="15" hidden="false" customHeight="true" outlineLevel="0" collapsed="false">
      <c r="A77" s="25" t="s">
        <v>373</v>
      </c>
      <c r="B77" s="26" t="s">
        <v>374</v>
      </c>
      <c r="C77" s="26" t="s">
        <v>375</v>
      </c>
      <c r="D77" s="27" t="s">
        <v>15</v>
      </c>
      <c r="E77" s="26" t="s">
        <v>80</v>
      </c>
      <c r="F77" s="29" t="s">
        <v>7</v>
      </c>
      <c r="G77" s="26" t="s">
        <v>29</v>
      </c>
      <c r="H77" s="26" t="s">
        <v>376</v>
      </c>
      <c r="I77" s="26" t="s">
        <v>377</v>
      </c>
    </row>
    <row r="78" customFormat="false" ht="15" hidden="false" customHeight="true" outlineLevel="0" collapsed="false">
      <c r="A78" s="25" t="s">
        <v>378</v>
      </c>
      <c r="B78" s="26" t="s">
        <v>374</v>
      </c>
      <c r="C78" s="26" t="s">
        <v>379</v>
      </c>
      <c r="D78" s="32" t="s">
        <v>17</v>
      </c>
      <c r="E78" s="26" t="s">
        <v>231</v>
      </c>
      <c r="F78" s="33" t="s">
        <v>10</v>
      </c>
      <c r="G78" s="26"/>
      <c r="H78" s="26"/>
      <c r="I78" s="26" t="s">
        <v>232</v>
      </c>
    </row>
    <row r="79" customFormat="false" ht="15" hidden="false" customHeight="true" outlineLevel="0" collapsed="false">
      <c r="A79" s="25" t="s">
        <v>380</v>
      </c>
      <c r="B79" s="26" t="s">
        <v>381</v>
      </c>
      <c r="C79" s="26" t="s">
        <v>382</v>
      </c>
      <c r="D79" s="30" t="s">
        <v>16</v>
      </c>
      <c r="E79" s="26" t="s">
        <v>80</v>
      </c>
      <c r="F79" s="29" t="s">
        <v>7</v>
      </c>
      <c r="G79" s="26" t="s">
        <v>29</v>
      </c>
      <c r="H79" s="26" t="s">
        <v>383</v>
      </c>
      <c r="I79" s="26" t="s">
        <v>384</v>
      </c>
    </row>
    <row r="80" customFormat="false" ht="15" hidden="false" customHeight="true" outlineLevel="0" collapsed="false">
      <c r="A80" s="25" t="s">
        <v>385</v>
      </c>
      <c r="B80" s="26" t="s">
        <v>381</v>
      </c>
      <c r="C80" s="26" t="s">
        <v>386</v>
      </c>
      <c r="D80" s="27" t="s">
        <v>15</v>
      </c>
      <c r="E80" s="26" t="s">
        <v>80</v>
      </c>
      <c r="F80" s="34" t="s">
        <v>11</v>
      </c>
      <c r="G80" s="26" t="s">
        <v>30</v>
      </c>
      <c r="H80" s="26" t="s">
        <v>387</v>
      </c>
      <c r="I80" s="26" t="s">
        <v>388</v>
      </c>
    </row>
    <row r="81" customFormat="false" ht="15" hidden="false" customHeight="true" outlineLevel="0" collapsed="false">
      <c r="A81" s="25" t="s">
        <v>389</v>
      </c>
      <c r="B81" s="26" t="s">
        <v>381</v>
      </c>
      <c r="C81" s="26" t="s">
        <v>390</v>
      </c>
      <c r="D81" s="30" t="s">
        <v>16</v>
      </c>
      <c r="E81" s="26" t="s">
        <v>80</v>
      </c>
      <c r="F81" s="29" t="s">
        <v>7</v>
      </c>
      <c r="G81" s="26" t="s">
        <v>29</v>
      </c>
      <c r="H81" s="26" t="s">
        <v>391</v>
      </c>
      <c r="I81" s="26" t="s">
        <v>392</v>
      </c>
    </row>
    <row r="82" customFormat="false" ht="15" hidden="false" customHeight="true" outlineLevel="0" collapsed="false">
      <c r="A82" s="25" t="s">
        <v>393</v>
      </c>
      <c r="B82" s="26" t="s">
        <v>394</v>
      </c>
      <c r="C82" s="26" t="s">
        <v>395</v>
      </c>
      <c r="D82" s="27" t="s">
        <v>15</v>
      </c>
      <c r="E82" s="26" t="s">
        <v>80</v>
      </c>
      <c r="F82" s="31" t="s">
        <v>11</v>
      </c>
      <c r="G82" s="26" t="s">
        <v>30</v>
      </c>
      <c r="H82" s="26" t="s">
        <v>396</v>
      </c>
      <c r="I82" s="26" t="s">
        <v>397</v>
      </c>
    </row>
    <row r="83" customFormat="false" ht="15" hidden="false" customHeight="true" outlineLevel="0" collapsed="false">
      <c r="A83" s="25" t="s">
        <v>398</v>
      </c>
      <c r="B83" s="26" t="s">
        <v>394</v>
      </c>
      <c r="C83" s="26" t="s">
        <v>399</v>
      </c>
      <c r="D83" s="27" t="s">
        <v>15</v>
      </c>
      <c r="E83" s="26" t="s">
        <v>80</v>
      </c>
      <c r="F83" s="29" t="s">
        <v>7</v>
      </c>
      <c r="G83" s="26" t="s">
        <v>30</v>
      </c>
      <c r="H83" s="26" t="s">
        <v>400</v>
      </c>
      <c r="I83" s="26" t="s">
        <v>401</v>
      </c>
    </row>
    <row r="84" customFormat="false" ht="15" hidden="false" customHeight="true" outlineLevel="0" collapsed="false">
      <c r="A84" s="25" t="s">
        <v>402</v>
      </c>
      <c r="B84" s="26" t="s">
        <v>394</v>
      </c>
      <c r="C84" s="26" t="s">
        <v>403</v>
      </c>
      <c r="D84" s="27" t="s">
        <v>15</v>
      </c>
      <c r="E84" s="26" t="s">
        <v>80</v>
      </c>
      <c r="F84" s="29" t="s">
        <v>7</v>
      </c>
      <c r="G84" s="26" t="s">
        <v>30</v>
      </c>
      <c r="H84" s="26" t="s">
        <v>404</v>
      </c>
      <c r="I84" s="26" t="s">
        <v>405</v>
      </c>
    </row>
    <row r="85" customFormat="false" ht="15" hidden="false" customHeight="true" outlineLevel="0" collapsed="false">
      <c r="A85" s="25" t="s">
        <v>406</v>
      </c>
      <c r="B85" s="26" t="s">
        <v>394</v>
      </c>
      <c r="C85" s="26" t="s">
        <v>407</v>
      </c>
      <c r="D85" s="30" t="s">
        <v>16</v>
      </c>
      <c r="E85" s="26" t="s">
        <v>80</v>
      </c>
      <c r="F85" s="31" t="s">
        <v>7</v>
      </c>
      <c r="G85" s="26" t="s">
        <v>30</v>
      </c>
      <c r="H85" s="26" t="s">
        <v>408</v>
      </c>
      <c r="I85" s="26" t="s">
        <v>409</v>
      </c>
    </row>
    <row r="86" customFormat="false" ht="15" hidden="false" customHeight="true" outlineLevel="0" collapsed="false">
      <c r="A86" s="25" t="s">
        <v>410</v>
      </c>
      <c r="B86" s="26" t="s">
        <v>394</v>
      </c>
      <c r="C86" s="26" t="s">
        <v>411</v>
      </c>
      <c r="D86" s="30" t="s">
        <v>16</v>
      </c>
      <c r="E86" s="26" t="s">
        <v>80</v>
      </c>
      <c r="F86" s="31" t="s">
        <v>7</v>
      </c>
      <c r="G86" s="26" t="s">
        <v>30</v>
      </c>
      <c r="H86" s="26" t="s">
        <v>412</v>
      </c>
      <c r="I86" s="26" t="s">
        <v>413</v>
      </c>
    </row>
    <row r="87" customFormat="false" ht="15" hidden="false" customHeight="true" outlineLevel="0" collapsed="false">
      <c r="A87" s="25" t="s">
        <v>414</v>
      </c>
      <c r="B87" s="26" t="s">
        <v>394</v>
      </c>
      <c r="C87" s="26" t="s">
        <v>415</v>
      </c>
      <c r="D87" s="30" t="s">
        <v>16</v>
      </c>
      <c r="E87" s="26" t="s">
        <v>80</v>
      </c>
      <c r="F87" s="31" t="s">
        <v>8</v>
      </c>
      <c r="G87" s="26" t="s">
        <v>30</v>
      </c>
      <c r="H87" s="26" t="s">
        <v>416</v>
      </c>
      <c r="I87" s="26" t="s">
        <v>417</v>
      </c>
    </row>
    <row r="88" customFormat="false" ht="15" hidden="false" customHeight="true" outlineLevel="0" collapsed="false">
      <c r="A88" s="25" t="s">
        <v>418</v>
      </c>
      <c r="B88" s="26" t="s">
        <v>394</v>
      </c>
      <c r="C88" s="26" t="s">
        <v>419</v>
      </c>
      <c r="D88" s="27" t="s">
        <v>15</v>
      </c>
      <c r="E88" s="26" t="s">
        <v>80</v>
      </c>
      <c r="F88" s="29" t="s">
        <v>8</v>
      </c>
      <c r="G88" s="26" t="s">
        <v>30</v>
      </c>
      <c r="H88" s="26" t="s">
        <v>420</v>
      </c>
      <c r="I88" s="26" t="s">
        <v>421</v>
      </c>
    </row>
    <row r="89" customFormat="false" ht="15" hidden="false" customHeight="true" outlineLevel="0" collapsed="false">
      <c r="A89" s="25" t="s">
        <v>422</v>
      </c>
      <c r="B89" s="26" t="s">
        <v>394</v>
      </c>
      <c r="C89" s="26" t="s">
        <v>423</v>
      </c>
      <c r="D89" s="27" t="s">
        <v>15</v>
      </c>
      <c r="E89" s="26" t="s">
        <v>80</v>
      </c>
      <c r="F89" s="29" t="s">
        <v>7</v>
      </c>
      <c r="G89" s="26" t="s">
        <v>30</v>
      </c>
      <c r="H89" s="26" t="s">
        <v>424</v>
      </c>
      <c r="I89" s="26" t="s">
        <v>425</v>
      </c>
    </row>
  </sheetData>
  <autoFilter ref="A1:I89"/>
  <dataValidations count="1">
    <dataValidation allowBlank="true" errorStyle="stop" operator="between" showDropDown="false" showErrorMessage="false" showInputMessage="false" sqref="F2:F89" type="list">
      <formula1>"Built,Partial,Gap,Deferred,Process"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5"/>
    <col collapsed="false" customWidth="true" hidden="false" outlineLevel="0" max="3" min="3" style="1" width="58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7" min="6" style="1" width="7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52"/>
    <col collapsed="false" customWidth="true" hidden="false" outlineLevel="0" max="11" min="11" style="1" width="13"/>
    <col collapsed="false" customWidth="true" hidden="false" outlineLevel="0" max="12" min="12" style="1" width="9"/>
    <col collapsed="false" customWidth="true" hidden="false" outlineLevel="0" max="13" min="13" style="1" width="46"/>
  </cols>
  <sheetData>
    <row r="1" customFormat="false" ht="15" hidden="false" customHeight="true" outlineLevel="0" collapsed="false">
      <c r="A1" s="24" t="s">
        <v>426</v>
      </c>
      <c r="B1" s="24" t="s">
        <v>19</v>
      </c>
      <c r="C1" s="24" t="s">
        <v>427</v>
      </c>
      <c r="D1" s="24" t="s">
        <v>428</v>
      </c>
      <c r="E1" s="24" t="s">
        <v>14</v>
      </c>
      <c r="F1" s="24" t="s">
        <v>429</v>
      </c>
      <c r="G1" s="24" t="s">
        <v>430</v>
      </c>
      <c r="H1" s="24" t="s">
        <v>431</v>
      </c>
      <c r="I1" s="24" t="s">
        <v>432</v>
      </c>
      <c r="J1" s="24" t="s">
        <v>433</v>
      </c>
      <c r="K1" s="24" t="s">
        <v>4</v>
      </c>
      <c r="L1" s="24" t="s">
        <v>434</v>
      </c>
      <c r="M1" s="35" t="s">
        <v>435</v>
      </c>
    </row>
    <row r="2" customFormat="false" ht="23.25" hidden="false" customHeight="true" outlineLevel="0" collapsed="false">
      <c r="A2" s="25" t="s">
        <v>124</v>
      </c>
      <c r="B2" s="26" t="s">
        <v>22</v>
      </c>
      <c r="C2" s="26" t="s">
        <v>436</v>
      </c>
      <c r="D2" s="26" t="s">
        <v>122</v>
      </c>
      <c r="E2" s="27" t="s">
        <v>15</v>
      </c>
      <c r="F2" s="36" t="s">
        <v>437</v>
      </c>
      <c r="G2" s="36" t="s">
        <v>35</v>
      </c>
      <c r="H2" s="26"/>
      <c r="I2" s="26" t="s">
        <v>438</v>
      </c>
      <c r="J2" s="26" t="s">
        <v>439</v>
      </c>
      <c r="K2" s="36" t="s">
        <v>70</v>
      </c>
      <c r="L2" s="36" t="n">
        <v>5</v>
      </c>
      <c r="M2" s="1" t="s">
        <v>440</v>
      </c>
    </row>
    <row r="3" customFormat="false" ht="23.25" hidden="false" customHeight="true" outlineLevel="0" collapsed="false">
      <c r="A3" s="25" t="s">
        <v>128</v>
      </c>
      <c r="B3" s="26" t="s">
        <v>22</v>
      </c>
      <c r="C3" s="26" t="s">
        <v>441</v>
      </c>
      <c r="D3" s="26" t="s">
        <v>126</v>
      </c>
      <c r="E3" s="27" t="s">
        <v>15</v>
      </c>
      <c r="F3" s="36" t="s">
        <v>437</v>
      </c>
      <c r="G3" s="36" t="s">
        <v>35</v>
      </c>
      <c r="H3" s="26" t="s">
        <v>124</v>
      </c>
      <c r="I3" s="26" t="s">
        <v>438</v>
      </c>
      <c r="J3" s="26" t="s">
        <v>442</v>
      </c>
      <c r="K3" s="36" t="s">
        <v>70</v>
      </c>
      <c r="L3" s="36" t="n">
        <v>5</v>
      </c>
      <c r="M3" s="1" t="s">
        <v>443</v>
      </c>
    </row>
    <row r="4" customFormat="false" ht="23.25" hidden="false" customHeight="true" outlineLevel="0" collapsed="false">
      <c r="A4" s="25" t="s">
        <v>139</v>
      </c>
      <c r="B4" s="26" t="s">
        <v>22</v>
      </c>
      <c r="C4" s="26" t="s">
        <v>444</v>
      </c>
      <c r="D4" s="26" t="s">
        <v>137</v>
      </c>
      <c r="E4" s="27" t="s">
        <v>15</v>
      </c>
      <c r="F4" s="36" t="s">
        <v>445</v>
      </c>
      <c r="G4" s="36" t="s">
        <v>35</v>
      </c>
      <c r="H4" s="26"/>
      <c r="I4" s="26" t="s">
        <v>438</v>
      </c>
      <c r="J4" s="26" t="s">
        <v>446</v>
      </c>
      <c r="K4" s="36" t="s">
        <v>70</v>
      </c>
      <c r="L4" s="36" t="n">
        <v>10</v>
      </c>
      <c r="M4" s="1" t="s">
        <v>447</v>
      </c>
    </row>
    <row r="5" customFormat="false" ht="15" hidden="false" customHeight="true" outlineLevel="0" collapsed="false">
      <c r="A5" s="25" t="s">
        <v>143</v>
      </c>
      <c r="B5" s="26" t="s">
        <v>22</v>
      </c>
      <c r="C5" s="26" t="s">
        <v>448</v>
      </c>
      <c r="D5" s="26" t="s">
        <v>141</v>
      </c>
      <c r="E5" s="27" t="s">
        <v>15</v>
      </c>
      <c r="F5" s="36" t="s">
        <v>449</v>
      </c>
      <c r="G5" s="36" t="s">
        <v>35</v>
      </c>
      <c r="H5" s="26" t="s">
        <v>139</v>
      </c>
      <c r="I5" s="26" t="s">
        <v>438</v>
      </c>
      <c r="J5" s="26" t="s">
        <v>450</v>
      </c>
      <c r="K5" s="36" t="s">
        <v>70</v>
      </c>
      <c r="L5" s="36" t="n">
        <v>2</v>
      </c>
      <c r="M5" s="1" t="s">
        <v>451</v>
      </c>
    </row>
    <row r="6" customFormat="false" ht="23.25" hidden="false" customHeight="true" outlineLevel="0" collapsed="false">
      <c r="A6" s="25" t="s">
        <v>147</v>
      </c>
      <c r="B6" s="26" t="s">
        <v>22</v>
      </c>
      <c r="C6" s="26" t="s">
        <v>452</v>
      </c>
      <c r="D6" s="26" t="s">
        <v>145</v>
      </c>
      <c r="E6" s="27" t="s">
        <v>15</v>
      </c>
      <c r="F6" s="36" t="s">
        <v>437</v>
      </c>
      <c r="G6" s="36" t="s">
        <v>35</v>
      </c>
      <c r="H6" s="26" t="s">
        <v>139</v>
      </c>
      <c r="I6" s="26" t="s">
        <v>438</v>
      </c>
      <c r="J6" s="26" t="s">
        <v>453</v>
      </c>
      <c r="K6" s="36" t="s">
        <v>70</v>
      </c>
      <c r="L6" s="36" t="n">
        <v>5</v>
      </c>
      <c r="M6" s="1" t="s">
        <v>454</v>
      </c>
    </row>
    <row r="7" customFormat="false" ht="23.25" hidden="false" customHeight="true" outlineLevel="0" collapsed="false">
      <c r="A7" s="25" t="s">
        <v>151</v>
      </c>
      <c r="B7" s="26" t="s">
        <v>22</v>
      </c>
      <c r="C7" s="26" t="s">
        <v>455</v>
      </c>
      <c r="D7" s="26" t="s">
        <v>149</v>
      </c>
      <c r="E7" s="27" t="s">
        <v>15</v>
      </c>
      <c r="F7" s="36" t="s">
        <v>437</v>
      </c>
      <c r="G7" s="36" t="s">
        <v>35</v>
      </c>
      <c r="H7" s="26"/>
      <c r="I7" s="26" t="s">
        <v>438</v>
      </c>
      <c r="J7" s="26" t="s">
        <v>456</v>
      </c>
      <c r="K7" s="36" t="s">
        <v>70</v>
      </c>
      <c r="L7" s="36" t="n">
        <v>5</v>
      </c>
      <c r="M7" s="1" t="s">
        <v>457</v>
      </c>
    </row>
    <row r="8" customFormat="false" ht="23.25" hidden="false" customHeight="true" outlineLevel="0" collapsed="false">
      <c r="A8" s="25" t="s">
        <v>155</v>
      </c>
      <c r="B8" s="26" t="s">
        <v>22</v>
      </c>
      <c r="C8" s="26" t="s">
        <v>458</v>
      </c>
      <c r="D8" s="26" t="s">
        <v>153</v>
      </c>
      <c r="E8" s="27" t="s">
        <v>15</v>
      </c>
      <c r="F8" s="36" t="s">
        <v>437</v>
      </c>
      <c r="G8" s="36" t="s">
        <v>35</v>
      </c>
      <c r="H8" s="26" t="s">
        <v>139</v>
      </c>
      <c r="I8" s="26" t="s">
        <v>438</v>
      </c>
      <c r="J8" s="26" t="s">
        <v>459</v>
      </c>
      <c r="K8" s="36" t="s">
        <v>70</v>
      </c>
      <c r="L8" s="36" t="n">
        <v>5</v>
      </c>
      <c r="M8" s="1" t="s">
        <v>460</v>
      </c>
    </row>
    <row r="9" customFormat="false" ht="23.25" hidden="false" customHeight="true" outlineLevel="0" collapsed="false">
      <c r="A9" s="25" t="s">
        <v>135</v>
      </c>
      <c r="B9" s="26" t="s">
        <v>22</v>
      </c>
      <c r="C9" s="26" t="s">
        <v>461</v>
      </c>
      <c r="D9" s="26" t="s">
        <v>133</v>
      </c>
      <c r="E9" s="27" t="s">
        <v>15</v>
      </c>
      <c r="F9" s="36" t="s">
        <v>449</v>
      </c>
      <c r="G9" s="36" t="s">
        <v>35</v>
      </c>
      <c r="H9" s="26"/>
      <c r="I9" s="26" t="s">
        <v>438</v>
      </c>
      <c r="J9" s="26" t="s">
        <v>462</v>
      </c>
      <c r="K9" s="36" t="s">
        <v>70</v>
      </c>
      <c r="L9" s="36" t="n">
        <v>2</v>
      </c>
      <c r="M9" s="1" t="s">
        <v>463</v>
      </c>
    </row>
    <row r="10" customFormat="false" ht="15" hidden="false" customHeight="true" outlineLevel="0" collapsed="false">
      <c r="A10" s="25" t="s">
        <v>166</v>
      </c>
      <c r="B10" s="26" t="s">
        <v>22</v>
      </c>
      <c r="C10" s="26" t="s">
        <v>464</v>
      </c>
      <c r="D10" s="26" t="s">
        <v>164</v>
      </c>
      <c r="E10" s="30" t="s">
        <v>16</v>
      </c>
      <c r="F10" s="36" t="s">
        <v>449</v>
      </c>
      <c r="G10" s="36" t="s">
        <v>35</v>
      </c>
      <c r="H10" s="26"/>
      <c r="I10" s="26" t="s">
        <v>438</v>
      </c>
      <c r="J10" s="26" t="s">
        <v>465</v>
      </c>
      <c r="K10" s="36" t="s">
        <v>70</v>
      </c>
      <c r="L10" s="36" t="n">
        <v>2</v>
      </c>
      <c r="M10" s="1" t="s">
        <v>466</v>
      </c>
    </row>
    <row r="11" customFormat="false" ht="15" hidden="false" customHeight="true" outlineLevel="0" collapsed="false">
      <c r="A11" s="25" t="s">
        <v>162</v>
      </c>
      <c r="B11" s="26" t="s">
        <v>22</v>
      </c>
      <c r="C11" s="26" t="s">
        <v>467</v>
      </c>
      <c r="D11" s="26" t="s">
        <v>160</v>
      </c>
      <c r="E11" s="32" t="s">
        <v>17</v>
      </c>
      <c r="F11" s="36" t="s">
        <v>437</v>
      </c>
      <c r="G11" s="36" t="s">
        <v>35</v>
      </c>
      <c r="H11" s="26"/>
      <c r="I11" s="26" t="s">
        <v>438</v>
      </c>
      <c r="J11" s="26" t="s">
        <v>468</v>
      </c>
      <c r="K11" s="36" t="s">
        <v>70</v>
      </c>
      <c r="L11" s="36" t="n">
        <v>5</v>
      </c>
      <c r="M11" s="1" t="s">
        <v>469</v>
      </c>
    </row>
    <row r="12" customFormat="false" ht="23.25" hidden="false" customHeight="true" outlineLevel="0" collapsed="false">
      <c r="A12" s="25" t="s">
        <v>195</v>
      </c>
      <c r="B12" s="26" t="s">
        <v>23</v>
      </c>
      <c r="C12" s="26" t="s">
        <v>470</v>
      </c>
      <c r="D12" s="26" t="s">
        <v>192</v>
      </c>
      <c r="E12" s="27" t="s">
        <v>15</v>
      </c>
      <c r="F12" s="36" t="s">
        <v>445</v>
      </c>
      <c r="G12" s="36" t="s">
        <v>38</v>
      </c>
      <c r="H12" s="26" t="s">
        <v>139</v>
      </c>
      <c r="I12" s="26" t="s">
        <v>471</v>
      </c>
      <c r="J12" s="26" t="s">
        <v>472</v>
      </c>
      <c r="K12" s="36" t="s">
        <v>70</v>
      </c>
      <c r="L12" s="36" t="n">
        <v>10</v>
      </c>
      <c r="M12" s="1" t="s">
        <v>473</v>
      </c>
    </row>
    <row r="13" customFormat="false" ht="23.25" hidden="false" customHeight="true" outlineLevel="0" collapsed="false">
      <c r="A13" s="25" t="s">
        <v>199</v>
      </c>
      <c r="B13" s="26" t="s">
        <v>23</v>
      </c>
      <c r="C13" s="26" t="s">
        <v>474</v>
      </c>
      <c r="D13" s="26" t="s">
        <v>197</v>
      </c>
      <c r="E13" s="27" t="s">
        <v>15</v>
      </c>
      <c r="F13" s="36" t="s">
        <v>445</v>
      </c>
      <c r="G13" s="36" t="s">
        <v>38</v>
      </c>
      <c r="H13" s="26" t="s">
        <v>195</v>
      </c>
      <c r="I13" s="26" t="s">
        <v>471</v>
      </c>
      <c r="J13" s="26" t="s">
        <v>475</v>
      </c>
      <c r="K13" s="36" t="s">
        <v>70</v>
      </c>
      <c r="L13" s="36" t="n">
        <v>10</v>
      </c>
      <c r="M13" s="1" t="s">
        <v>476</v>
      </c>
    </row>
    <row r="14" customFormat="false" ht="23.25" hidden="false" customHeight="true" outlineLevel="0" collapsed="false">
      <c r="A14" s="25" t="s">
        <v>203</v>
      </c>
      <c r="B14" s="26" t="s">
        <v>23</v>
      </c>
      <c r="C14" s="26" t="s">
        <v>477</v>
      </c>
      <c r="D14" s="26" t="s">
        <v>201</v>
      </c>
      <c r="E14" s="27" t="s">
        <v>15</v>
      </c>
      <c r="F14" s="36" t="s">
        <v>437</v>
      </c>
      <c r="G14" s="36" t="s">
        <v>38</v>
      </c>
      <c r="H14" s="26" t="s">
        <v>195</v>
      </c>
      <c r="I14" s="26" t="s">
        <v>471</v>
      </c>
      <c r="J14" s="26" t="s">
        <v>478</v>
      </c>
      <c r="K14" s="36" t="s">
        <v>70</v>
      </c>
      <c r="L14" s="36" t="n">
        <v>5</v>
      </c>
      <c r="M14" s="1" t="s">
        <v>479</v>
      </c>
    </row>
    <row r="15" customFormat="false" ht="15" hidden="false" customHeight="true" outlineLevel="0" collapsed="false">
      <c r="A15" s="25" t="s">
        <v>207</v>
      </c>
      <c r="B15" s="26" t="s">
        <v>23</v>
      </c>
      <c r="C15" s="26" t="s">
        <v>480</v>
      </c>
      <c r="D15" s="26" t="s">
        <v>205</v>
      </c>
      <c r="E15" s="27" t="s">
        <v>15</v>
      </c>
      <c r="F15" s="36" t="s">
        <v>437</v>
      </c>
      <c r="G15" s="36" t="s">
        <v>38</v>
      </c>
      <c r="H15" s="26" t="s">
        <v>481</v>
      </c>
      <c r="I15" s="26" t="s">
        <v>471</v>
      </c>
      <c r="J15" s="26" t="s">
        <v>482</v>
      </c>
      <c r="K15" s="36" t="s">
        <v>70</v>
      </c>
      <c r="L15" s="36" t="n">
        <v>5</v>
      </c>
      <c r="M15" s="1" t="s">
        <v>483</v>
      </c>
    </row>
    <row r="16" customFormat="false" ht="23.25" hidden="false" customHeight="true" outlineLevel="0" collapsed="false">
      <c r="A16" s="25" t="s">
        <v>211</v>
      </c>
      <c r="B16" s="26" t="s">
        <v>23</v>
      </c>
      <c r="C16" s="26" t="s">
        <v>484</v>
      </c>
      <c r="D16" s="26" t="s">
        <v>209</v>
      </c>
      <c r="E16" s="27" t="s">
        <v>15</v>
      </c>
      <c r="F16" s="36" t="s">
        <v>449</v>
      </c>
      <c r="G16" s="36" t="s">
        <v>38</v>
      </c>
      <c r="H16" s="26"/>
      <c r="I16" s="26" t="s">
        <v>471</v>
      </c>
      <c r="J16" s="26" t="s">
        <v>485</v>
      </c>
      <c r="K16" s="36" t="s">
        <v>70</v>
      </c>
      <c r="L16" s="36" t="n">
        <v>2</v>
      </c>
      <c r="M16" s="1" t="s">
        <v>486</v>
      </c>
    </row>
    <row r="17" customFormat="false" ht="23.25" hidden="false" customHeight="true" outlineLevel="0" collapsed="false">
      <c r="A17" s="25" t="s">
        <v>215</v>
      </c>
      <c r="B17" s="26" t="s">
        <v>23</v>
      </c>
      <c r="C17" s="26" t="s">
        <v>487</v>
      </c>
      <c r="D17" s="26" t="s">
        <v>213</v>
      </c>
      <c r="E17" s="27" t="s">
        <v>15</v>
      </c>
      <c r="F17" s="36" t="s">
        <v>437</v>
      </c>
      <c r="G17" s="36" t="s">
        <v>38</v>
      </c>
      <c r="H17" s="26"/>
      <c r="I17" s="26" t="s">
        <v>471</v>
      </c>
      <c r="J17" s="26" t="s">
        <v>488</v>
      </c>
      <c r="K17" s="36" t="s">
        <v>70</v>
      </c>
      <c r="L17" s="36" t="n">
        <v>5</v>
      </c>
      <c r="M17" s="1" t="s">
        <v>489</v>
      </c>
    </row>
    <row r="18" customFormat="false" ht="15" hidden="false" customHeight="true" outlineLevel="0" collapsed="false">
      <c r="A18" s="25" t="s">
        <v>219</v>
      </c>
      <c r="B18" s="26" t="s">
        <v>23</v>
      </c>
      <c r="C18" s="26" t="s">
        <v>490</v>
      </c>
      <c r="D18" s="26" t="s">
        <v>217</v>
      </c>
      <c r="E18" s="27" t="s">
        <v>15</v>
      </c>
      <c r="F18" s="36" t="s">
        <v>449</v>
      </c>
      <c r="G18" s="36" t="s">
        <v>38</v>
      </c>
      <c r="H18" s="26"/>
      <c r="I18" s="26" t="s">
        <v>471</v>
      </c>
      <c r="J18" s="26" t="s">
        <v>491</v>
      </c>
      <c r="K18" s="36" t="s">
        <v>70</v>
      </c>
      <c r="L18" s="36" t="n">
        <v>2</v>
      </c>
      <c r="M18" s="1" t="s">
        <v>492</v>
      </c>
    </row>
    <row r="19" customFormat="false" ht="23.25" hidden="false" customHeight="true" outlineLevel="0" collapsed="false">
      <c r="A19" s="25" t="s">
        <v>227</v>
      </c>
      <c r="B19" s="26" t="s">
        <v>23</v>
      </c>
      <c r="C19" s="26" t="s">
        <v>493</v>
      </c>
      <c r="D19" s="26" t="s">
        <v>225</v>
      </c>
      <c r="E19" s="27" t="s">
        <v>15</v>
      </c>
      <c r="F19" s="36" t="s">
        <v>437</v>
      </c>
      <c r="G19" s="36" t="s">
        <v>38</v>
      </c>
      <c r="H19" s="26"/>
      <c r="I19" s="26" t="s">
        <v>471</v>
      </c>
      <c r="J19" s="26" t="s">
        <v>494</v>
      </c>
      <c r="K19" s="36" t="s">
        <v>70</v>
      </c>
      <c r="L19" s="36" t="n">
        <v>5</v>
      </c>
      <c r="M19" s="1" t="s">
        <v>495</v>
      </c>
    </row>
    <row r="20" customFormat="false" ht="23.25" hidden="false" customHeight="true" outlineLevel="0" collapsed="false">
      <c r="A20" s="25" t="s">
        <v>223</v>
      </c>
      <c r="B20" s="26" t="s">
        <v>23</v>
      </c>
      <c r="C20" s="26" t="s">
        <v>496</v>
      </c>
      <c r="D20" s="26" t="s">
        <v>221</v>
      </c>
      <c r="E20" s="30" t="s">
        <v>16</v>
      </c>
      <c r="F20" s="36" t="s">
        <v>449</v>
      </c>
      <c r="G20" s="36" t="s">
        <v>38</v>
      </c>
      <c r="H20" s="26"/>
      <c r="I20" s="26" t="s">
        <v>471</v>
      </c>
      <c r="J20" s="26" t="s">
        <v>497</v>
      </c>
      <c r="K20" s="36" t="s">
        <v>70</v>
      </c>
      <c r="L20" s="36" t="n">
        <v>2</v>
      </c>
      <c r="M20" s="1" t="s">
        <v>498</v>
      </c>
    </row>
    <row r="21" customFormat="false" ht="15" hidden="false" customHeight="true" outlineLevel="0" collapsed="false">
      <c r="A21" s="25" t="s">
        <v>424</v>
      </c>
      <c r="B21" s="26" t="s">
        <v>23</v>
      </c>
      <c r="C21" s="26" t="s">
        <v>499</v>
      </c>
      <c r="D21" s="26" t="s">
        <v>422</v>
      </c>
      <c r="E21" s="27" t="s">
        <v>15</v>
      </c>
      <c r="F21" s="36" t="s">
        <v>449</v>
      </c>
      <c r="G21" s="36" t="s">
        <v>38</v>
      </c>
      <c r="H21" s="26" t="s">
        <v>195</v>
      </c>
      <c r="I21" s="26" t="s">
        <v>471</v>
      </c>
      <c r="J21" s="26" t="s">
        <v>500</v>
      </c>
      <c r="K21" s="36" t="s">
        <v>70</v>
      </c>
      <c r="L21" s="36" t="n">
        <v>2</v>
      </c>
      <c r="M21" s="1" t="s">
        <v>501</v>
      </c>
    </row>
    <row r="22" customFormat="false" ht="23.25" hidden="false" customHeight="true" outlineLevel="0" collapsed="false">
      <c r="A22" s="25" t="s">
        <v>236</v>
      </c>
      <c r="B22" s="26" t="s">
        <v>24</v>
      </c>
      <c r="C22" s="26" t="s">
        <v>502</v>
      </c>
      <c r="D22" s="26" t="s">
        <v>233</v>
      </c>
      <c r="E22" s="27" t="s">
        <v>15</v>
      </c>
      <c r="F22" s="36" t="s">
        <v>445</v>
      </c>
      <c r="G22" s="36" t="s">
        <v>41</v>
      </c>
      <c r="H22" s="26" t="s">
        <v>503</v>
      </c>
      <c r="I22" s="26" t="s">
        <v>504</v>
      </c>
      <c r="J22" s="26" t="s">
        <v>505</v>
      </c>
      <c r="K22" s="36" t="s">
        <v>70</v>
      </c>
      <c r="L22" s="36" t="n">
        <v>10</v>
      </c>
      <c r="M22" s="1" t="s">
        <v>506</v>
      </c>
    </row>
    <row r="23" customFormat="false" ht="23.25" hidden="false" customHeight="true" outlineLevel="0" collapsed="false">
      <c r="A23" s="25" t="s">
        <v>244</v>
      </c>
      <c r="B23" s="26" t="s">
        <v>24</v>
      </c>
      <c r="C23" s="26" t="s">
        <v>507</v>
      </c>
      <c r="D23" s="26" t="s">
        <v>242</v>
      </c>
      <c r="E23" s="27" t="s">
        <v>15</v>
      </c>
      <c r="F23" s="36" t="s">
        <v>437</v>
      </c>
      <c r="G23" s="36" t="s">
        <v>41</v>
      </c>
      <c r="H23" s="26" t="s">
        <v>236</v>
      </c>
      <c r="I23" s="26" t="s">
        <v>504</v>
      </c>
      <c r="J23" s="26" t="s">
        <v>508</v>
      </c>
      <c r="K23" s="36" t="s">
        <v>70</v>
      </c>
      <c r="L23" s="36" t="n">
        <v>5</v>
      </c>
      <c r="M23" s="1" t="s">
        <v>509</v>
      </c>
    </row>
    <row r="24" customFormat="false" ht="15" hidden="false" customHeight="true" outlineLevel="0" collapsed="false">
      <c r="A24" s="25" t="s">
        <v>248</v>
      </c>
      <c r="B24" s="26" t="s">
        <v>24</v>
      </c>
      <c r="C24" s="26" t="s">
        <v>510</v>
      </c>
      <c r="D24" s="26" t="s">
        <v>246</v>
      </c>
      <c r="E24" s="27" t="s">
        <v>15</v>
      </c>
      <c r="F24" s="36" t="s">
        <v>437</v>
      </c>
      <c r="G24" s="36" t="s">
        <v>41</v>
      </c>
      <c r="H24" s="26" t="s">
        <v>236</v>
      </c>
      <c r="I24" s="26" t="s">
        <v>504</v>
      </c>
      <c r="J24" s="26" t="s">
        <v>511</v>
      </c>
      <c r="K24" s="36" t="s">
        <v>70</v>
      </c>
      <c r="L24" s="36" t="n">
        <v>5</v>
      </c>
      <c r="M24" s="1" t="s">
        <v>512</v>
      </c>
    </row>
    <row r="25" customFormat="false" ht="23.25" hidden="false" customHeight="true" outlineLevel="0" collapsed="false">
      <c r="A25" s="25" t="s">
        <v>252</v>
      </c>
      <c r="B25" s="26" t="s">
        <v>24</v>
      </c>
      <c r="C25" s="26" t="s">
        <v>513</v>
      </c>
      <c r="D25" s="26" t="s">
        <v>250</v>
      </c>
      <c r="E25" s="27" t="s">
        <v>15</v>
      </c>
      <c r="F25" s="36" t="s">
        <v>437</v>
      </c>
      <c r="G25" s="36" t="s">
        <v>41</v>
      </c>
      <c r="H25" s="26" t="s">
        <v>244</v>
      </c>
      <c r="I25" s="26" t="s">
        <v>504</v>
      </c>
      <c r="J25" s="26" t="s">
        <v>514</v>
      </c>
      <c r="K25" s="36" t="s">
        <v>70</v>
      </c>
      <c r="L25" s="36" t="n">
        <v>5</v>
      </c>
      <c r="M25" s="1" t="s">
        <v>515</v>
      </c>
    </row>
    <row r="26" customFormat="false" ht="23.25" hidden="false" customHeight="true" outlineLevel="0" collapsed="false">
      <c r="A26" s="25" t="s">
        <v>276</v>
      </c>
      <c r="B26" s="26" t="s">
        <v>24</v>
      </c>
      <c r="C26" s="26" t="s">
        <v>516</v>
      </c>
      <c r="D26" s="26" t="s">
        <v>274</v>
      </c>
      <c r="E26" s="27" t="s">
        <v>15</v>
      </c>
      <c r="F26" s="36" t="s">
        <v>445</v>
      </c>
      <c r="G26" s="36" t="s">
        <v>41</v>
      </c>
      <c r="H26" s="26" t="s">
        <v>248</v>
      </c>
      <c r="I26" s="26" t="s">
        <v>504</v>
      </c>
      <c r="J26" s="26" t="s">
        <v>517</v>
      </c>
      <c r="K26" s="36" t="s">
        <v>70</v>
      </c>
      <c r="L26" s="36" t="n">
        <v>10</v>
      </c>
      <c r="M26" s="1" t="s">
        <v>518</v>
      </c>
    </row>
    <row r="27" customFormat="false" ht="15" hidden="false" customHeight="true" outlineLevel="0" collapsed="false">
      <c r="A27" s="25" t="s">
        <v>284</v>
      </c>
      <c r="B27" s="26" t="s">
        <v>24</v>
      </c>
      <c r="C27" s="26" t="s">
        <v>519</v>
      </c>
      <c r="D27" s="26" t="s">
        <v>282</v>
      </c>
      <c r="E27" s="30" t="s">
        <v>16</v>
      </c>
      <c r="F27" s="36" t="s">
        <v>437</v>
      </c>
      <c r="G27" s="36" t="s">
        <v>41</v>
      </c>
      <c r="H27" s="26" t="s">
        <v>276</v>
      </c>
      <c r="I27" s="26" t="s">
        <v>504</v>
      </c>
      <c r="J27" s="26" t="s">
        <v>520</v>
      </c>
      <c r="K27" s="36" t="s">
        <v>70</v>
      </c>
      <c r="L27" s="36" t="n">
        <v>5</v>
      </c>
      <c r="M27" s="1" t="s">
        <v>285</v>
      </c>
    </row>
    <row r="28" customFormat="false" ht="23.25" hidden="false" customHeight="true" outlineLevel="0" collapsed="false">
      <c r="A28" s="25" t="s">
        <v>280</v>
      </c>
      <c r="B28" s="26" t="s">
        <v>24</v>
      </c>
      <c r="C28" s="26" t="s">
        <v>521</v>
      </c>
      <c r="D28" s="26" t="s">
        <v>278</v>
      </c>
      <c r="E28" s="30" t="s">
        <v>16</v>
      </c>
      <c r="F28" s="36" t="s">
        <v>437</v>
      </c>
      <c r="G28" s="36" t="s">
        <v>41</v>
      </c>
      <c r="H28" s="26" t="s">
        <v>276</v>
      </c>
      <c r="I28" s="26" t="s">
        <v>504</v>
      </c>
      <c r="J28" s="26" t="s">
        <v>522</v>
      </c>
      <c r="K28" s="36" t="s">
        <v>70</v>
      </c>
      <c r="L28" s="36" t="n">
        <v>5</v>
      </c>
      <c r="M28" s="1" t="s">
        <v>281</v>
      </c>
    </row>
    <row r="29" customFormat="false" ht="23.25" hidden="false" customHeight="true" outlineLevel="0" collapsed="false">
      <c r="A29" s="25" t="s">
        <v>288</v>
      </c>
      <c r="B29" s="26" t="s">
        <v>24</v>
      </c>
      <c r="C29" s="26" t="s">
        <v>523</v>
      </c>
      <c r="D29" s="26" t="s">
        <v>286</v>
      </c>
      <c r="E29" s="27" t="s">
        <v>15</v>
      </c>
      <c r="F29" s="36" t="s">
        <v>437</v>
      </c>
      <c r="G29" s="36" t="s">
        <v>41</v>
      </c>
      <c r="H29" s="26" t="s">
        <v>276</v>
      </c>
      <c r="I29" s="26" t="s">
        <v>504</v>
      </c>
      <c r="J29" s="26" t="s">
        <v>524</v>
      </c>
      <c r="K29" s="36" t="s">
        <v>70</v>
      </c>
      <c r="L29" s="36" t="n">
        <v>5</v>
      </c>
      <c r="M29" s="1" t="s">
        <v>289</v>
      </c>
    </row>
    <row r="30" customFormat="false" ht="23.25" hidden="false" customHeight="true" outlineLevel="0" collapsed="false">
      <c r="A30" s="25" t="s">
        <v>272</v>
      </c>
      <c r="B30" s="26" t="s">
        <v>24</v>
      </c>
      <c r="C30" s="26" t="s">
        <v>525</v>
      </c>
      <c r="D30" s="26" t="s">
        <v>269</v>
      </c>
      <c r="E30" s="27" t="s">
        <v>15</v>
      </c>
      <c r="F30" s="36" t="s">
        <v>437</v>
      </c>
      <c r="G30" s="36" t="s">
        <v>41</v>
      </c>
      <c r="H30" s="26" t="s">
        <v>276</v>
      </c>
      <c r="I30" s="26" t="s">
        <v>504</v>
      </c>
      <c r="J30" s="26" t="s">
        <v>526</v>
      </c>
      <c r="K30" s="36" t="s">
        <v>70</v>
      </c>
      <c r="L30" s="36" t="n">
        <v>5</v>
      </c>
      <c r="M30" s="1" t="s">
        <v>273</v>
      </c>
    </row>
    <row r="31" customFormat="false" ht="23.25" hidden="false" customHeight="true" outlineLevel="0" collapsed="false">
      <c r="A31" s="25" t="s">
        <v>260</v>
      </c>
      <c r="B31" s="26" t="s">
        <v>24</v>
      </c>
      <c r="C31" s="26" t="s">
        <v>527</v>
      </c>
      <c r="D31" s="26" t="s">
        <v>258</v>
      </c>
      <c r="E31" s="30" t="s">
        <v>16</v>
      </c>
      <c r="F31" s="36" t="s">
        <v>437</v>
      </c>
      <c r="G31" s="36" t="s">
        <v>41</v>
      </c>
      <c r="H31" s="26" t="s">
        <v>116</v>
      </c>
      <c r="I31" s="26" t="s">
        <v>504</v>
      </c>
      <c r="J31" s="26" t="s">
        <v>528</v>
      </c>
      <c r="K31" s="36" t="s">
        <v>70</v>
      </c>
      <c r="L31" s="36" t="n">
        <v>5</v>
      </c>
      <c r="M31" s="1" t="s">
        <v>261</v>
      </c>
    </row>
    <row r="32" customFormat="false" ht="23.25" hidden="false" customHeight="true" outlineLevel="0" collapsed="false">
      <c r="A32" s="25" t="s">
        <v>256</v>
      </c>
      <c r="B32" s="26" t="s">
        <v>24</v>
      </c>
      <c r="C32" s="26" t="s">
        <v>529</v>
      </c>
      <c r="D32" s="26" t="s">
        <v>254</v>
      </c>
      <c r="E32" s="30" t="s">
        <v>16</v>
      </c>
      <c r="F32" s="36" t="s">
        <v>437</v>
      </c>
      <c r="G32" s="36" t="s">
        <v>41</v>
      </c>
      <c r="H32" s="26" t="s">
        <v>116</v>
      </c>
      <c r="I32" s="26" t="s">
        <v>504</v>
      </c>
      <c r="J32" s="26" t="s">
        <v>530</v>
      </c>
      <c r="K32" s="36" t="s">
        <v>70</v>
      </c>
      <c r="L32" s="36" t="n">
        <v>5</v>
      </c>
      <c r="M32" s="1" t="s">
        <v>257</v>
      </c>
    </row>
    <row r="33" customFormat="false" ht="15" hidden="false" customHeight="true" outlineLevel="0" collapsed="false">
      <c r="A33" s="25" t="s">
        <v>264</v>
      </c>
      <c r="B33" s="26" t="s">
        <v>24</v>
      </c>
      <c r="C33" s="26" t="s">
        <v>531</v>
      </c>
      <c r="D33" s="26" t="s">
        <v>262</v>
      </c>
      <c r="E33" s="30" t="s">
        <v>16</v>
      </c>
      <c r="F33" s="36" t="s">
        <v>449</v>
      </c>
      <c r="G33" s="36" t="s">
        <v>41</v>
      </c>
      <c r="H33" s="26"/>
      <c r="I33" s="26" t="s">
        <v>504</v>
      </c>
      <c r="J33" s="26" t="s">
        <v>532</v>
      </c>
      <c r="K33" s="36" t="s">
        <v>70</v>
      </c>
      <c r="L33" s="36" t="n">
        <v>2</v>
      </c>
      <c r="M33" s="1" t="s">
        <v>265</v>
      </c>
    </row>
    <row r="34" customFormat="false" ht="23.25" hidden="false" customHeight="true" outlineLevel="0" collapsed="false">
      <c r="A34" s="25" t="s">
        <v>240</v>
      </c>
      <c r="B34" s="26" t="s">
        <v>24</v>
      </c>
      <c r="C34" s="26" t="s">
        <v>533</v>
      </c>
      <c r="D34" s="26" t="s">
        <v>238</v>
      </c>
      <c r="E34" s="27" t="s">
        <v>15</v>
      </c>
      <c r="F34" s="36" t="s">
        <v>437</v>
      </c>
      <c r="G34" s="36" t="s">
        <v>41</v>
      </c>
      <c r="H34" s="26" t="s">
        <v>108</v>
      </c>
      <c r="I34" s="26" t="s">
        <v>504</v>
      </c>
      <c r="J34" s="26" t="s">
        <v>534</v>
      </c>
      <c r="K34" s="36" t="s">
        <v>70</v>
      </c>
      <c r="L34" s="36" t="n">
        <v>5</v>
      </c>
      <c r="M34" s="1" t="s">
        <v>241</v>
      </c>
    </row>
    <row r="35" customFormat="false" ht="23.25" hidden="false" customHeight="true" outlineLevel="0" collapsed="false">
      <c r="A35" s="25" t="s">
        <v>116</v>
      </c>
      <c r="B35" s="26" t="s">
        <v>25</v>
      </c>
      <c r="C35" s="26" t="s">
        <v>535</v>
      </c>
      <c r="D35" s="26" t="s">
        <v>114</v>
      </c>
      <c r="E35" s="27" t="s">
        <v>15</v>
      </c>
      <c r="F35" s="36" t="s">
        <v>437</v>
      </c>
      <c r="G35" s="36" t="s">
        <v>44</v>
      </c>
      <c r="H35" s="26"/>
      <c r="I35" s="26" t="s">
        <v>536</v>
      </c>
      <c r="J35" s="26" t="s">
        <v>537</v>
      </c>
      <c r="K35" s="36" t="s">
        <v>70</v>
      </c>
      <c r="L35" s="36" t="n">
        <v>5</v>
      </c>
      <c r="M35" s="1" t="s">
        <v>117</v>
      </c>
    </row>
    <row r="36" customFormat="false" ht="23.25" hidden="false" customHeight="true" outlineLevel="0" collapsed="false">
      <c r="A36" s="25" t="s">
        <v>108</v>
      </c>
      <c r="B36" s="26" t="s">
        <v>25</v>
      </c>
      <c r="C36" s="26" t="s">
        <v>538</v>
      </c>
      <c r="D36" s="26" t="s">
        <v>106</v>
      </c>
      <c r="E36" s="27" t="s">
        <v>15</v>
      </c>
      <c r="F36" s="36" t="s">
        <v>437</v>
      </c>
      <c r="G36" s="36" t="s">
        <v>44</v>
      </c>
      <c r="H36" s="26"/>
      <c r="I36" s="26" t="s">
        <v>536</v>
      </c>
      <c r="J36" s="26" t="s">
        <v>539</v>
      </c>
      <c r="K36" s="36" t="s">
        <v>70</v>
      </c>
      <c r="L36" s="36" t="n">
        <v>5</v>
      </c>
      <c r="M36" s="1" t="s">
        <v>540</v>
      </c>
    </row>
    <row r="37" customFormat="false" ht="15" hidden="false" customHeight="true" outlineLevel="0" collapsed="false">
      <c r="A37" s="25" t="s">
        <v>104</v>
      </c>
      <c r="B37" s="26" t="s">
        <v>25</v>
      </c>
      <c r="C37" s="26" t="s">
        <v>541</v>
      </c>
      <c r="D37" s="26" t="s">
        <v>101</v>
      </c>
      <c r="E37" s="27" t="s">
        <v>15</v>
      </c>
      <c r="F37" s="36" t="s">
        <v>437</v>
      </c>
      <c r="G37" s="36" t="s">
        <v>44</v>
      </c>
      <c r="H37" s="26" t="s">
        <v>108</v>
      </c>
      <c r="I37" s="26" t="s">
        <v>536</v>
      </c>
      <c r="J37" s="26" t="s">
        <v>542</v>
      </c>
      <c r="K37" s="36" t="s">
        <v>70</v>
      </c>
      <c r="L37" s="36" t="n">
        <v>5</v>
      </c>
      <c r="M37" s="1" t="s">
        <v>543</v>
      </c>
    </row>
    <row r="38" customFormat="false" ht="15" hidden="false" customHeight="true" outlineLevel="0" collapsed="false">
      <c r="A38" s="25" t="s">
        <v>112</v>
      </c>
      <c r="B38" s="26" t="s">
        <v>25</v>
      </c>
      <c r="C38" s="26" t="s">
        <v>544</v>
      </c>
      <c r="D38" s="26" t="s">
        <v>110</v>
      </c>
      <c r="E38" s="27" t="s">
        <v>15</v>
      </c>
      <c r="F38" s="36" t="s">
        <v>449</v>
      </c>
      <c r="G38" s="36" t="s">
        <v>44</v>
      </c>
      <c r="H38" s="26"/>
      <c r="I38" s="26" t="s">
        <v>536</v>
      </c>
      <c r="J38" s="26" t="s">
        <v>545</v>
      </c>
      <c r="K38" s="36" t="s">
        <v>70</v>
      </c>
      <c r="L38" s="36" t="n">
        <v>2</v>
      </c>
      <c r="M38" s="1" t="s">
        <v>546</v>
      </c>
    </row>
    <row r="39" customFormat="false" ht="23.25" hidden="false" customHeight="true" outlineLevel="0" collapsed="false">
      <c r="A39" s="25" t="s">
        <v>171</v>
      </c>
      <c r="B39" s="26" t="s">
        <v>26</v>
      </c>
      <c r="C39" s="26" t="s">
        <v>547</v>
      </c>
      <c r="D39" s="26" t="s">
        <v>168</v>
      </c>
      <c r="E39" s="27" t="s">
        <v>15</v>
      </c>
      <c r="F39" s="36" t="s">
        <v>437</v>
      </c>
      <c r="G39" s="36" t="s">
        <v>44</v>
      </c>
      <c r="H39" s="26" t="s">
        <v>139</v>
      </c>
      <c r="I39" s="26" t="s">
        <v>438</v>
      </c>
      <c r="J39" s="26" t="s">
        <v>548</v>
      </c>
      <c r="K39" s="36" t="s">
        <v>70</v>
      </c>
      <c r="L39" s="36" t="n">
        <v>5</v>
      </c>
      <c r="M39" s="1" t="s">
        <v>172</v>
      </c>
    </row>
    <row r="40" customFormat="false" ht="23.25" hidden="false" customHeight="true" outlineLevel="0" collapsed="false">
      <c r="A40" s="25" t="s">
        <v>175</v>
      </c>
      <c r="B40" s="26" t="s">
        <v>26</v>
      </c>
      <c r="C40" s="26" t="s">
        <v>549</v>
      </c>
      <c r="D40" s="26" t="s">
        <v>173</v>
      </c>
      <c r="E40" s="27" t="s">
        <v>15</v>
      </c>
      <c r="F40" s="36" t="s">
        <v>437</v>
      </c>
      <c r="G40" s="36" t="s">
        <v>44</v>
      </c>
      <c r="H40" s="26"/>
      <c r="I40" s="26" t="s">
        <v>438</v>
      </c>
      <c r="J40" s="26" t="s">
        <v>550</v>
      </c>
      <c r="K40" s="36" t="s">
        <v>70</v>
      </c>
      <c r="L40" s="36" t="n">
        <v>5</v>
      </c>
      <c r="M40" s="1" t="s">
        <v>176</v>
      </c>
    </row>
    <row r="41" customFormat="false" ht="23.25" hidden="false" customHeight="true" outlineLevel="0" collapsed="false">
      <c r="A41" s="25" t="s">
        <v>182</v>
      </c>
      <c r="B41" s="26" t="s">
        <v>26</v>
      </c>
      <c r="C41" s="26" t="s">
        <v>551</v>
      </c>
      <c r="D41" s="26" t="s">
        <v>180</v>
      </c>
      <c r="E41" s="30" t="s">
        <v>16</v>
      </c>
      <c r="F41" s="36" t="s">
        <v>445</v>
      </c>
      <c r="G41" s="36" t="s">
        <v>44</v>
      </c>
      <c r="H41" s="26" t="s">
        <v>199</v>
      </c>
      <c r="I41" s="26" t="s">
        <v>438</v>
      </c>
      <c r="J41" s="26" t="s">
        <v>552</v>
      </c>
      <c r="K41" s="36" t="s">
        <v>70</v>
      </c>
      <c r="L41" s="36" t="n">
        <v>10</v>
      </c>
      <c r="M41" s="1" t="s">
        <v>183</v>
      </c>
    </row>
    <row r="42" customFormat="false" ht="15" hidden="false" customHeight="true" outlineLevel="0" collapsed="false">
      <c r="A42" s="25" t="s">
        <v>186</v>
      </c>
      <c r="B42" s="26" t="s">
        <v>26</v>
      </c>
      <c r="C42" s="26" t="s">
        <v>553</v>
      </c>
      <c r="D42" s="26" t="s">
        <v>184</v>
      </c>
      <c r="E42" s="30" t="s">
        <v>16</v>
      </c>
      <c r="F42" s="36" t="s">
        <v>437</v>
      </c>
      <c r="G42" s="36" t="s">
        <v>44</v>
      </c>
      <c r="H42" s="26" t="s">
        <v>195</v>
      </c>
      <c r="I42" s="26" t="s">
        <v>438</v>
      </c>
      <c r="J42" s="26" t="s">
        <v>554</v>
      </c>
      <c r="K42" s="36" t="s">
        <v>70</v>
      </c>
      <c r="L42" s="36" t="n">
        <v>5</v>
      </c>
      <c r="M42" s="1" t="s">
        <v>187</v>
      </c>
    </row>
    <row r="43" customFormat="false" ht="23.25" hidden="false" customHeight="true" outlineLevel="0" collapsed="false">
      <c r="A43" s="25" t="s">
        <v>190</v>
      </c>
      <c r="B43" s="26" t="s">
        <v>26</v>
      </c>
      <c r="C43" s="26" t="s">
        <v>555</v>
      </c>
      <c r="D43" s="26" t="s">
        <v>188</v>
      </c>
      <c r="E43" s="30" t="s">
        <v>16</v>
      </c>
      <c r="F43" s="36" t="s">
        <v>449</v>
      </c>
      <c r="G43" s="36" t="s">
        <v>44</v>
      </c>
      <c r="H43" s="26"/>
      <c r="I43" s="26" t="s">
        <v>438</v>
      </c>
      <c r="J43" s="26" t="s">
        <v>556</v>
      </c>
      <c r="K43" s="36" t="s">
        <v>70</v>
      </c>
      <c r="L43" s="36" t="n">
        <v>2</v>
      </c>
      <c r="M43" s="1" t="s">
        <v>191</v>
      </c>
    </row>
    <row r="44" customFormat="false" ht="23.25" hidden="false" customHeight="true" outlineLevel="0" collapsed="false">
      <c r="A44" s="25" t="s">
        <v>305</v>
      </c>
      <c r="B44" s="26" t="s">
        <v>27</v>
      </c>
      <c r="C44" s="26" t="s">
        <v>557</v>
      </c>
      <c r="D44" s="26" t="s">
        <v>303</v>
      </c>
      <c r="E44" s="27" t="s">
        <v>15</v>
      </c>
      <c r="F44" s="36" t="s">
        <v>449</v>
      </c>
      <c r="G44" s="36" t="s">
        <v>47</v>
      </c>
      <c r="H44" s="26"/>
      <c r="I44" s="26" t="s">
        <v>558</v>
      </c>
      <c r="J44" s="26" t="s">
        <v>559</v>
      </c>
      <c r="K44" s="36" t="s">
        <v>70</v>
      </c>
      <c r="L44" s="36" t="n">
        <v>2</v>
      </c>
      <c r="M44" s="1" t="s">
        <v>306</v>
      </c>
    </row>
    <row r="45" customFormat="false" ht="23.25" hidden="false" customHeight="true" outlineLevel="0" collapsed="false">
      <c r="A45" s="25" t="s">
        <v>317</v>
      </c>
      <c r="B45" s="26" t="s">
        <v>27</v>
      </c>
      <c r="C45" s="26" t="s">
        <v>560</v>
      </c>
      <c r="D45" s="26" t="s">
        <v>315</v>
      </c>
      <c r="E45" s="27" t="s">
        <v>15</v>
      </c>
      <c r="F45" s="36" t="s">
        <v>437</v>
      </c>
      <c r="G45" s="36" t="s">
        <v>47</v>
      </c>
      <c r="H45" s="26"/>
      <c r="I45" s="26" t="s">
        <v>558</v>
      </c>
      <c r="J45" s="26" t="s">
        <v>561</v>
      </c>
      <c r="K45" s="36" t="s">
        <v>70</v>
      </c>
      <c r="L45" s="36" t="n">
        <v>3</v>
      </c>
      <c r="M45" s="1" t="s">
        <v>318</v>
      </c>
    </row>
    <row r="46" customFormat="false" ht="23.25" hidden="false" customHeight="true" outlineLevel="0" collapsed="false">
      <c r="A46" s="25" t="s">
        <v>309</v>
      </c>
      <c r="B46" s="26" t="s">
        <v>27</v>
      </c>
      <c r="C46" s="26" t="s">
        <v>562</v>
      </c>
      <c r="D46" s="26" t="s">
        <v>307</v>
      </c>
      <c r="E46" s="27" t="s">
        <v>15</v>
      </c>
      <c r="F46" s="36" t="s">
        <v>437</v>
      </c>
      <c r="G46" s="36" t="s">
        <v>47</v>
      </c>
      <c r="H46" s="26"/>
      <c r="I46" s="26" t="s">
        <v>558</v>
      </c>
      <c r="J46" s="26" t="s">
        <v>563</v>
      </c>
      <c r="K46" s="36" t="s">
        <v>70</v>
      </c>
      <c r="L46" s="36" t="n">
        <v>5</v>
      </c>
      <c r="M46" s="1" t="s">
        <v>310</v>
      </c>
    </row>
    <row r="47" customFormat="false" ht="23.25" hidden="false" customHeight="true" outlineLevel="0" collapsed="false">
      <c r="A47" s="25" t="s">
        <v>366</v>
      </c>
      <c r="B47" s="26" t="s">
        <v>27</v>
      </c>
      <c r="C47" s="26" t="s">
        <v>564</v>
      </c>
      <c r="D47" s="26" t="s">
        <v>364</v>
      </c>
      <c r="E47" s="27" t="s">
        <v>15</v>
      </c>
      <c r="F47" s="36" t="s">
        <v>437</v>
      </c>
      <c r="G47" s="36" t="s">
        <v>47</v>
      </c>
      <c r="H47" s="26"/>
      <c r="I47" s="26" t="s">
        <v>558</v>
      </c>
      <c r="J47" s="26" t="s">
        <v>565</v>
      </c>
      <c r="K47" s="36" t="s">
        <v>70</v>
      </c>
      <c r="L47" s="36" t="n">
        <v>4</v>
      </c>
      <c r="M47" s="1" t="s">
        <v>566</v>
      </c>
    </row>
    <row r="48" customFormat="false" ht="23.25" hidden="false" customHeight="true" outlineLevel="0" collapsed="false">
      <c r="A48" s="25" t="s">
        <v>359</v>
      </c>
      <c r="B48" s="26" t="s">
        <v>27</v>
      </c>
      <c r="C48" s="26" t="s">
        <v>567</v>
      </c>
      <c r="D48" s="26" t="s">
        <v>356</v>
      </c>
      <c r="E48" s="27" t="s">
        <v>15</v>
      </c>
      <c r="F48" s="36" t="s">
        <v>437</v>
      </c>
      <c r="G48" s="36" t="s">
        <v>47</v>
      </c>
      <c r="H48" s="26"/>
      <c r="I48" s="26" t="s">
        <v>558</v>
      </c>
      <c r="J48" s="26" t="s">
        <v>568</v>
      </c>
      <c r="K48" s="36" t="s">
        <v>70</v>
      </c>
      <c r="L48" s="36" t="n">
        <v>5</v>
      </c>
      <c r="M48" s="1" t="s">
        <v>569</v>
      </c>
    </row>
    <row r="49" customFormat="false" ht="23.25" hidden="false" customHeight="true" outlineLevel="0" collapsed="false">
      <c r="A49" s="25" t="s">
        <v>313</v>
      </c>
      <c r="B49" s="26" t="s">
        <v>27</v>
      </c>
      <c r="C49" s="26" t="s">
        <v>570</v>
      </c>
      <c r="D49" s="26" t="s">
        <v>311</v>
      </c>
      <c r="E49" s="30" t="s">
        <v>16</v>
      </c>
      <c r="F49" s="36" t="s">
        <v>449</v>
      </c>
      <c r="G49" s="36" t="s">
        <v>47</v>
      </c>
      <c r="H49" s="26"/>
      <c r="I49" s="26" t="s">
        <v>558</v>
      </c>
      <c r="J49" s="26" t="s">
        <v>571</v>
      </c>
      <c r="K49" s="36" t="s">
        <v>70</v>
      </c>
      <c r="L49" s="36" t="n">
        <v>2</v>
      </c>
      <c r="M49" s="1" t="s">
        <v>572</v>
      </c>
    </row>
    <row r="50" customFormat="false" ht="23.25" hidden="false" customHeight="true" outlineLevel="0" collapsed="false">
      <c r="A50" s="25" t="s">
        <v>371</v>
      </c>
      <c r="B50" s="26" t="s">
        <v>27</v>
      </c>
      <c r="C50" s="26" t="s">
        <v>573</v>
      </c>
      <c r="D50" s="26" t="s">
        <v>368</v>
      </c>
      <c r="E50" s="27" t="s">
        <v>15</v>
      </c>
      <c r="F50" s="36" t="s">
        <v>449</v>
      </c>
      <c r="G50" s="36" t="s">
        <v>47</v>
      </c>
      <c r="H50" s="26"/>
      <c r="I50" s="26" t="s">
        <v>558</v>
      </c>
      <c r="J50" s="26" t="s">
        <v>574</v>
      </c>
      <c r="K50" s="36" t="s">
        <v>70</v>
      </c>
      <c r="L50" s="36" t="n">
        <v>2</v>
      </c>
      <c r="M50" s="1" t="s">
        <v>575</v>
      </c>
    </row>
    <row r="51" customFormat="false" ht="23.25" hidden="false" customHeight="true" outlineLevel="0" collapsed="false">
      <c r="A51" s="25" t="s">
        <v>347</v>
      </c>
      <c r="B51" s="26" t="s">
        <v>28</v>
      </c>
      <c r="C51" s="26" t="s">
        <v>576</v>
      </c>
      <c r="D51" s="26" t="s">
        <v>345</v>
      </c>
      <c r="E51" s="27" t="s">
        <v>15</v>
      </c>
      <c r="F51" s="36" t="s">
        <v>445</v>
      </c>
      <c r="G51" s="36" t="s">
        <v>50</v>
      </c>
      <c r="H51" s="26"/>
      <c r="I51" s="26" t="s">
        <v>577</v>
      </c>
      <c r="J51" s="26" t="s">
        <v>578</v>
      </c>
      <c r="K51" s="36" t="s">
        <v>70</v>
      </c>
      <c r="L51" s="36" t="n">
        <v>6</v>
      </c>
      <c r="M51" s="1" t="s">
        <v>579</v>
      </c>
    </row>
    <row r="52" customFormat="false" ht="23.25" hidden="false" customHeight="true" outlineLevel="0" collapsed="false">
      <c r="A52" s="25" t="s">
        <v>340</v>
      </c>
      <c r="B52" s="26" t="s">
        <v>28</v>
      </c>
      <c r="C52" s="26" t="s">
        <v>580</v>
      </c>
      <c r="D52" s="26" t="s">
        <v>337</v>
      </c>
      <c r="E52" s="27" t="s">
        <v>15</v>
      </c>
      <c r="F52" s="36" t="s">
        <v>437</v>
      </c>
      <c r="G52" s="36" t="s">
        <v>50</v>
      </c>
      <c r="H52" s="26"/>
      <c r="I52" s="26" t="s">
        <v>577</v>
      </c>
      <c r="J52" s="26" t="s">
        <v>581</v>
      </c>
      <c r="K52" s="36" t="s">
        <v>70</v>
      </c>
      <c r="L52" s="36" t="n">
        <v>5</v>
      </c>
      <c r="M52" s="1" t="s">
        <v>582</v>
      </c>
    </row>
    <row r="53" customFormat="false" ht="23.25" hidden="false" customHeight="true" outlineLevel="0" collapsed="false">
      <c r="A53" s="25" t="s">
        <v>351</v>
      </c>
      <c r="B53" s="26" t="s">
        <v>28</v>
      </c>
      <c r="C53" s="26" t="s">
        <v>583</v>
      </c>
      <c r="D53" s="26" t="s">
        <v>349</v>
      </c>
      <c r="E53" s="30" t="s">
        <v>16</v>
      </c>
      <c r="F53" s="36" t="s">
        <v>437</v>
      </c>
      <c r="G53" s="36" t="s">
        <v>50</v>
      </c>
      <c r="H53" s="26" t="s">
        <v>340</v>
      </c>
      <c r="I53" s="26" t="s">
        <v>577</v>
      </c>
      <c r="J53" s="26" t="s">
        <v>584</v>
      </c>
      <c r="K53" s="36" t="s">
        <v>70</v>
      </c>
      <c r="L53" s="36" t="n">
        <v>5</v>
      </c>
      <c r="M53" s="1" t="s">
        <v>585</v>
      </c>
    </row>
    <row r="54" customFormat="false" ht="15" hidden="false" customHeight="true" outlineLevel="0" collapsed="false">
      <c r="A54" s="25" t="s">
        <v>328</v>
      </c>
      <c r="B54" s="26" t="s">
        <v>28</v>
      </c>
      <c r="C54" s="26" t="s">
        <v>586</v>
      </c>
      <c r="D54" s="26" t="s">
        <v>326</v>
      </c>
      <c r="E54" s="30" t="s">
        <v>16</v>
      </c>
      <c r="F54" s="36" t="s">
        <v>445</v>
      </c>
      <c r="G54" s="36" t="s">
        <v>50</v>
      </c>
      <c r="H54" s="26" t="s">
        <v>139</v>
      </c>
      <c r="I54" s="26" t="s">
        <v>577</v>
      </c>
      <c r="J54" s="26" t="s">
        <v>587</v>
      </c>
      <c r="K54" s="36" t="s">
        <v>70</v>
      </c>
      <c r="L54" s="36" t="n">
        <v>10</v>
      </c>
      <c r="M54" s="1" t="s">
        <v>588</v>
      </c>
    </row>
    <row r="55" customFormat="false" ht="15" hidden="false" customHeight="true" outlineLevel="0" collapsed="false">
      <c r="A55" s="25" t="s">
        <v>332</v>
      </c>
      <c r="B55" s="26" t="s">
        <v>28</v>
      </c>
      <c r="C55" s="26" t="s">
        <v>589</v>
      </c>
      <c r="D55" s="26" t="s">
        <v>330</v>
      </c>
      <c r="E55" s="30" t="s">
        <v>16</v>
      </c>
      <c r="F55" s="36" t="s">
        <v>437</v>
      </c>
      <c r="G55" s="36" t="s">
        <v>50</v>
      </c>
      <c r="H55" s="26" t="s">
        <v>359</v>
      </c>
      <c r="I55" s="26" t="s">
        <v>577</v>
      </c>
      <c r="J55" s="26" t="s">
        <v>590</v>
      </c>
      <c r="K55" s="36" t="s">
        <v>70</v>
      </c>
      <c r="L55" s="36" t="n">
        <v>5</v>
      </c>
      <c r="M55" s="1" t="s">
        <v>591</v>
      </c>
    </row>
    <row r="56" customFormat="false" ht="23.25" hidden="false" customHeight="true" outlineLevel="0" collapsed="false">
      <c r="A56" s="25" t="s">
        <v>91</v>
      </c>
      <c r="B56" s="26" t="s">
        <v>29</v>
      </c>
      <c r="C56" s="26" t="s">
        <v>592</v>
      </c>
      <c r="D56" s="26" t="s">
        <v>89</v>
      </c>
      <c r="E56" s="27" t="s">
        <v>15</v>
      </c>
      <c r="F56" s="36" t="s">
        <v>445</v>
      </c>
      <c r="G56" s="36" t="s">
        <v>53</v>
      </c>
      <c r="H56" s="26"/>
      <c r="I56" s="26" t="s">
        <v>593</v>
      </c>
      <c r="J56" s="26" t="s">
        <v>594</v>
      </c>
      <c r="K56" s="36" t="s">
        <v>70</v>
      </c>
      <c r="L56" s="36" t="n">
        <v>10</v>
      </c>
      <c r="M56" s="1" t="s">
        <v>595</v>
      </c>
    </row>
    <row r="57" customFormat="false" ht="23.25" hidden="false" customHeight="true" outlineLevel="0" collapsed="false">
      <c r="A57" s="25" t="s">
        <v>99</v>
      </c>
      <c r="B57" s="26" t="s">
        <v>29</v>
      </c>
      <c r="C57" s="26" t="s">
        <v>596</v>
      </c>
      <c r="D57" s="26" t="s">
        <v>97</v>
      </c>
      <c r="E57" s="30" t="s">
        <v>16</v>
      </c>
      <c r="F57" s="36" t="s">
        <v>437</v>
      </c>
      <c r="G57" s="36" t="s">
        <v>53</v>
      </c>
      <c r="H57" s="26"/>
      <c r="I57" s="26" t="s">
        <v>593</v>
      </c>
      <c r="J57" s="26" t="s">
        <v>597</v>
      </c>
      <c r="K57" s="36" t="s">
        <v>70</v>
      </c>
      <c r="L57" s="36" t="n">
        <v>5</v>
      </c>
      <c r="M57" s="1" t="s">
        <v>598</v>
      </c>
    </row>
    <row r="58" customFormat="false" ht="23.25" hidden="false" customHeight="true" outlineLevel="0" collapsed="false">
      <c r="A58" s="25" t="s">
        <v>376</v>
      </c>
      <c r="B58" s="26" t="s">
        <v>29</v>
      </c>
      <c r="C58" s="26" t="s">
        <v>599</v>
      </c>
      <c r="D58" s="26" t="s">
        <v>373</v>
      </c>
      <c r="E58" s="27" t="s">
        <v>15</v>
      </c>
      <c r="F58" s="36" t="s">
        <v>445</v>
      </c>
      <c r="G58" s="36" t="s">
        <v>53</v>
      </c>
      <c r="H58" s="26" t="s">
        <v>600</v>
      </c>
      <c r="I58" s="26" t="s">
        <v>593</v>
      </c>
      <c r="J58" s="26" t="s">
        <v>601</v>
      </c>
      <c r="K58" s="36" t="s">
        <v>70</v>
      </c>
      <c r="L58" s="36" t="n">
        <v>10</v>
      </c>
      <c r="M58" s="1" t="s">
        <v>602</v>
      </c>
    </row>
    <row r="59" customFormat="false" ht="15" hidden="false" customHeight="true" outlineLevel="0" collapsed="false">
      <c r="A59" s="25" t="s">
        <v>383</v>
      </c>
      <c r="B59" s="26" t="s">
        <v>29</v>
      </c>
      <c r="C59" s="26" t="s">
        <v>603</v>
      </c>
      <c r="D59" s="26" t="s">
        <v>380</v>
      </c>
      <c r="E59" s="30" t="s">
        <v>16</v>
      </c>
      <c r="F59" s="36" t="s">
        <v>449</v>
      </c>
      <c r="G59" s="36" t="s">
        <v>53</v>
      </c>
      <c r="H59" s="26"/>
      <c r="I59" s="26" t="s">
        <v>593</v>
      </c>
      <c r="J59" s="26" t="s">
        <v>604</v>
      </c>
      <c r="K59" s="36" t="s">
        <v>70</v>
      </c>
      <c r="L59" s="36" t="n">
        <v>2</v>
      </c>
      <c r="M59" s="1" t="s">
        <v>605</v>
      </c>
    </row>
    <row r="60" customFormat="false" ht="23.25" hidden="false" customHeight="true" outlineLevel="0" collapsed="false">
      <c r="A60" s="25" t="s">
        <v>391</v>
      </c>
      <c r="B60" s="26" t="s">
        <v>29</v>
      </c>
      <c r="C60" s="26" t="s">
        <v>606</v>
      </c>
      <c r="D60" s="26" t="s">
        <v>389</v>
      </c>
      <c r="E60" s="30" t="s">
        <v>16</v>
      </c>
      <c r="F60" s="36" t="s">
        <v>437</v>
      </c>
      <c r="G60" s="36" t="s">
        <v>53</v>
      </c>
      <c r="H60" s="26"/>
      <c r="I60" s="26" t="s">
        <v>593</v>
      </c>
      <c r="J60" s="26" t="s">
        <v>607</v>
      </c>
      <c r="K60" s="36" t="s">
        <v>70</v>
      </c>
      <c r="L60" s="36" t="n">
        <v>5</v>
      </c>
      <c r="M60" s="1" t="s">
        <v>608</v>
      </c>
    </row>
    <row r="61" customFormat="false" ht="15" hidden="false" customHeight="true" outlineLevel="0" collapsed="false">
      <c r="A61" s="25" t="s">
        <v>95</v>
      </c>
      <c r="B61" s="26" t="s">
        <v>29</v>
      </c>
      <c r="C61" s="26" t="s">
        <v>609</v>
      </c>
      <c r="D61" s="26" t="s">
        <v>93</v>
      </c>
      <c r="E61" s="27" t="s">
        <v>15</v>
      </c>
      <c r="F61" s="36" t="s">
        <v>449</v>
      </c>
      <c r="G61" s="36" t="s">
        <v>53</v>
      </c>
      <c r="H61" s="26"/>
      <c r="I61" s="26" t="s">
        <v>593</v>
      </c>
      <c r="J61" s="26" t="s">
        <v>610</v>
      </c>
      <c r="K61" s="36" t="s">
        <v>70</v>
      </c>
      <c r="L61" s="36" t="n">
        <v>2</v>
      </c>
      <c r="M61" s="1" t="s">
        <v>611</v>
      </c>
    </row>
    <row r="62" customFormat="false" ht="23.25" hidden="false" customHeight="true" outlineLevel="0" collapsed="false">
      <c r="A62" s="25" t="s">
        <v>404</v>
      </c>
      <c r="B62" s="26" t="s">
        <v>30</v>
      </c>
      <c r="C62" s="26" t="s">
        <v>612</v>
      </c>
      <c r="D62" s="26" t="s">
        <v>402</v>
      </c>
      <c r="E62" s="27" t="s">
        <v>15</v>
      </c>
      <c r="F62" s="36" t="s">
        <v>437</v>
      </c>
      <c r="G62" s="36" t="s">
        <v>56</v>
      </c>
      <c r="H62" s="26"/>
      <c r="I62" s="26" t="s">
        <v>593</v>
      </c>
      <c r="J62" s="26" t="s">
        <v>613</v>
      </c>
      <c r="K62" s="36" t="s">
        <v>70</v>
      </c>
      <c r="L62" s="36" t="n">
        <v>5</v>
      </c>
      <c r="M62" s="37" t="s">
        <v>405</v>
      </c>
    </row>
    <row r="63" customFormat="false" ht="15" hidden="false" customHeight="true" outlineLevel="0" collapsed="false">
      <c r="A63" s="25" t="s">
        <v>400</v>
      </c>
      <c r="B63" s="26" t="s">
        <v>30</v>
      </c>
      <c r="C63" s="26" t="s">
        <v>614</v>
      </c>
      <c r="D63" s="26" t="s">
        <v>398</v>
      </c>
      <c r="E63" s="27" t="s">
        <v>15</v>
      </c>
      <c r="F63" s="36" t="s">
        <v>437</v>
      </c>
      <c r="G63" s="36" t="s">
        <v>56</v>
      </c>
      <c r="H63" s="26"/>
      <c r="I63" s="26" t="s">
        <v>593</v>
      </c>
      <c r="J63" s="26" t="s">
        <v>615</v>
      </c>
      <c r="K63" s="36" t="s">
        <v>70</v>
      </c>
      <c r="L63" s="36" t="n">
        <v>5</v>
      </c>
      <c r="M63" s="1" t="s">
        <v>401</v>
      </c>
    </row>
    <row r="64" customFormat="false" ht="15" hidden="false" customHeight="true" outlineLevel="0" collapsed="false">
      <c r="A64" s="25" t="s">
        <v>396</v>
      </c>
      <c r="B64" s="26" t="s">
        <v>30</v>
      </c>
      <c r="C64" s="26" t="s">
        <v>616</v>
      </c>
      <c r="D64" s="26" t="s">
        <v>393</v>
      </c>
      <c r="E64" s="27" t="s">
        <v>15</v>
      </c>
      <c r="F64" s="36" t="s">
        <v>437</v>
      </c>
      <c r="G64" s="36" t="s">
        <v>56</v>
      </c>
      <c r="H64" s="26"/>
      <c r="I64" s="26" t="s">
        <v>593</v>
      </c>
      <c r="J64" s="26" t="s">
        <v>617</v>
      </c>
      <c r="K64" s="36" t="s">
        <v>69</v>
      </c>
      <c r="L64" s="36" t="n">
        <v>5</v>
      </c>
      <c r="M64" s="1" t="s">
        <v>618</v>
      </c>
    </row>
    <row r="65" customFormat="false" ht="15" hidden="false" customHeight="true" outlineLevel="0" collapsed="false">
      <c r="A65" s="25" t="s">
        <v>408</v>
      </c>
      <c r="B65" s="26" t="s">
        <v>30</v>
      </c>
      <c r="C65" s="26" t="s">
        <v>619</v>
      </c>
      <c r="D65" s="26" t="s">
        <v>406</v>
      </c>
      <c r="E65" s="30" t="s">
        <v>16</v>
      </c>
      <c r="F65" s="36" t="s">
        <v>449</v>
      </c>
      <c r="G65" s="36" t="s">
        <v>56</v>
      </c>
      <c r="H65" s="26"/>
      <c r="I65" s="26" t="s">
        <v>593</v>
      </c>
      <c r="J65" s="26" t="s">
        <v>620</v>
      </c>
      <c r="K65" s="36" t="s">
        <v>70</v>
      </c>
      <c r="L65" s="36" t="n">
        <v>2</v>
      </c>
      <c r="M65" s="1" t="s">
        <v>409</v>
      </c>
    </row>
    <row r="66" customFormat="false" ht="15" hidden="false" customHeight="true" outlineLevel="0" collapsed="false">
      <c r="A66" s="25" t="s">
        <v>412</v>
      </c>
      <c r="B66" s="26" t="s">
        <v>30</v>
      </c>
      <c r="C66" s="26" t="s">
        <v>621</v>
      </c>
      <c r="D66" s="26" t="s">
        <v>410</v>
      </c>
      <c r="E66" s="30" t="s">
        <v>16</v>
      </c>
      <c r="F66" s="36" t="s">
        <v>449</v>
      </c>
      <c r="G66" s="36" t="s">
        <v>56</v>
      </c>
      <c r="H66" s="26"/>
      <c r="I66" s="26" t="s">
        <v>593</v>
      </c>
      <c r="J66" s="26" t="s">
        <v>622</v>
      </c>
      <c r="K66" s="36" t="s">
        <v>70</v>
      </c>
      <c r="L66" s="36" t="n">
        <v>2</v>
      </c>
      <c r="M66" s="1" t="s">
        <v>413</v>
      </c>
    </row>
    <row r="67" customFormat="false" ht="15" hidden="false" customHeight="true" outlineLevel="0" collapsed="false">
      <c r="A67" s="25" t="s">
        <v>416</v>
      </c>
      <c r="B67" s="26" t="s">
        <v>30</v>
      </c>
      <c r="C67" s="26" t="s">
        <v>623</v>
      </c>
      <c r="D67" s="26" t="s">
        <v>414</v>
      </c>
      <c r="E67" s="30" t="s">
        <v>16</v>
      </c>
      <c r="F67" s="36" t="s">
        <v>449</v>
      </c>
      <c r="G67" s="36" t="s">
        <v>56</v>
      </c>
      <c r="H67" s="26"/>
      <c r="I67" s="26" t="s">
        <v>593</v>
      </c>
      <c r="J67" s="26" t="s">
        <v>624</v>
      </c>
      <c r="K67" s="36" t="s">
        <v>70</v>
      </c>
      <c r="L67" s="36" t="n">
        <v>2</v>
      </c>
      <c r="M67" s="1" t="s">
        <v>417</v>
      </c>
    </row>
    <row r="68" customFormat="false" ht="15" hidden="false" customHeight="true" outlineLevel="0" collapsed="false">
      <c r="A68" s="25" t="s">
        <v>420</v>
      </c>
      <c r="B68" s="26" t="s">
        <v>30</v>
      </c>
      <c r="C68" s="26" t="s">
        <v>625</v>
      </c>
      <c r="D68" s="26" t="s">
        <v>418</v>
      </c>
      <c r="E68" s="27" t="s">
        <v>15</v>
      </c>
      <c r="F68" s="36" t="s">
        <v>449</v>
      </c>
      <c r="G68" s="36" t="s">
        <v>56</v>
      </c>
      <c r="H68" s="26"/>
      <c r="I68" s="26" t="s">
        <v>593</v>
      </c>
      <c r="J68" s="26" t="s">
        <v>626</v>
      </c>
      <c r="K68" s="36" t="s">
        <v>69</v>
      </c>
      <c r="L68" s="36" t="n">
        <v>2</v>
      </c>
      <c r="M68" s="1" t="s">
        <v>627</v>
      </c>
    </row>
    <row r="69" customFormat="false" ht="15" hidden="false" customHeight="true" outlineLevel="0" collapsed="false">
      <c r="A69" s="25" t="s">
        <v>387</v>
      </c>
      <c r="B69" s="26" t="s">
        <v>30</v>
      </c>
      <c r="C69" s="26" t="s">
        <v>628</v>
      </c>
      <c r="D69" s="26" t="s">
        <v>385</v>
      </c>
      <c r="E69" s="27" t="s">
        <v>15</v>
      </c>
      <c r="F69" s="36" t="s">
        <v>449</v>
      </c>
      <c r="G69" s="36" t="s">
        <v>56</v>
      </c>
      <c r="H69" s="26"/>
      <c r="I69" s="26" t="s">
        <v>629</v>
      </c>
      <c r="J69" s="26" t="s">
        <v>630</v>
      </c>
      <c r="K69" s="36" t="s">
        <v>69</v>
      </c>
      <c r="L69" s="36" t="n">
        <v>2</v>
      </c>
      <c r="M69" s="1" t="s">
        <v>631</v>
      </c>
    </row>
    <row r="70" customFormat="false" ht="34.5" hidden="false" customHeight="true" outlineLevel="0" collapsed="false">
      <c r="A70" s="38" t="s">
        <v>632</v>
      </c>
      <c r="B70" s="38" t="s">
        <v>633</v>
      </c>
      <c r="C70" s="39" t="s">
        <v>634</v>
      </c>
      <c r="D70" s="38" t="s">
        <v>635</v>
      </c>
      <c r="E70" s="38" t="s">
        <v>15</v>
      </c>
      <c r="F70" s="38" t="s">
        <v>449</v>
      </c>
      <c r="G70" s="38" t="s">
        <v>35</v>
      </c>
      <c r="H70" s="38" t="s">
        <v>139</v>
      </c>
      <c r="I70" s="38" t="s">
        <v>438</v>
      </c>
      <c r="J70" s="39" t="s">
        <v>636</v>
      </c>
      <c r="K70" s="38" t="s">
        <v>70</v>
      </c>
      <c r="L70" s="38" t="n">
        <v>3</v>
      </c>
      <c r="M70" s="39" t="s">
        <v>637</v>
      </c>
    </row>
    <row r="71" customFormat="false" ht="45.75" hidden="false" customHeight="true" outlineLevel="0" collapsed="false">
      <c r="A71" s="38" t="s">
        <v>638</v>
      </c>
      <c r="B71" s="38" t="s">
        <v>633</v>
      </c>
      <c r="C71" s="39" t="s">
        <v>639</v>
      </c>
      <c r="D71" s="38" t="s">
        <v>640</v>
      </c>
      <c r="E71" s="38" t="s">
        <v>15</v>
      </c>
      <c r="F71" s="38" t="s">
        <v>437</v>
      </c>
      <c r="G71" s="38" t="s">
        <v>35</v>
      </c>
      <c r="H71" s="38" t="s">
        <v>632</v>
      </c>
      <c r="I71" s="38" t="s">
        <v>438</v>
      </c>
      <c r="J71" s="39" t="s">
        <v>641</v>
      </c>
      <c r="K71" s="38" t="s">
        <v>70</v>
      </c>
      <c r="L71" s="38" t="n">
        <v>5</v>
      </c>
      <c r="M71" s="39" t="s">
        <v>642</v>
      </c>
    </row>
    <row r="72" customFormat="false" ht="34.5" hidden="false" customHeight="true" outlineLevel="0" collapsed="false">
      <c r="A72" s="38" t="s">
        <v>643</v>
      </c>
      <c r="B72" s="38" t="s">
        <v>633</v>
      </c>
      <c r="C72" s="39" t="s">
        <v>644</v>
      </c>
      <c r="D72" s="38" t="s">
        <v>418</v>
      </c>
      <c r="E72" s="38" t="s">
        <v>15</v>
      </c>
      <c r="F72" s="38" t="s">
        <v>437</v>
      </c>
      <c r="G72" s="38" t="s">
        <v>35</v>
      </c>
      <c r="H72" s="38" t="s">
        <v>638</v>
      </c>
      <c r="I72" s="38" t="s">
        <v>438</v>
      </c>
      <c r="J72" s="39" t="s">
        <v>645</v>
      </c>
      <c r="K72" s="38" t="s">
        <v>70</v>
      </c>
      <c r="L72" s="38" t="n">
        <v>5</v>
      </c>
      <c r="M72" s="39" t="s">
        <v>646</v>
      </c>
    </row>
  </sheetData>
  <autoFilter ref="A1:M72"/>
  <dataValidations count="1">
    <dataValidation allowBlank="true" errorStyle="stop" operator="between" showDropDown="false" showErrorMessage="false" showInputMessage="false" sqref="K2:K69" type="list">
      <formula1>"Not started,In progress,Blocked,Done,Deferred"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60"/>
    <col collapsed="false" customWidth="true" hidden="false" outlineLevel="0" max="5" min="5" style="1" width="52"/>
  </cols>
  <sheetData>
    <row r="1" customFormat="false" ht="15" hidden="false" customHeight="true" outlineLevel="0" collapsed="false">
      <c r="A1" s="5" t="s">
        <v>430</v>
      </c>
      <c r="B1" s="5" t="s">
        <v>647</v>
      </c>
      <c r="C1" s="5" t="s">
        <v>648</v>
      </c>
      <c r="D1" s="5" t="s">
        <v>649</v>
      </c>
      <c r="E1" s="5" t="s">
        <v>650</v>
      </c>
    </row>
    <row r="2" customFormat="false" ht="15" hidden="false" customHeight="true" outlineLevel="0" collapsed="false">
      <c r="A2" s="25" t="s">
        <v>32</v>
      </c>
      <c r="B2" s="26" t="s">
        <v>33</v>
      </c>
      <c r="C2" s="26" t="s">
        <v>34</v>
      </c>
      <c r="D2" s="26" t="s">
        <v>651</v>
      </c>
      <c r="E2" s="26" t="s">
        <v>652</v>
      </c>
    </row>
    <row r="3" customFormat="false" ht="23.25" hidden="false" customHeight="true" outlineLevel="0" collapsed="false">
      <c r="A3" s="25" t="s">
        <v>35</v>
      </c>
      <c r="B3" s="26" t="s">
        <v>36</v>
      </c>
      <c r="C3" s="26" t="s">
        <v>37</v>
      </c>
      <c r="D3" s="26" t="s">
        <v>653</v>
      </c>
      <c r="E3" s="26" t="s">
        <v>654</v>
      </c>
    </row>
    <row r="4" customFormat="false" ht="23.25" hidden="false" customHeight="true" outlineLevel="0" collapsed="false">
      <c r="A4" s="25" t="s">
        <v>38</v>
      </c>
      <c r="B4" s="26" t="s">
        <v>39</v>
      </c>
      <c r="C4" s="26" t="s">
        <v>40</v>
      </c>
      <c r="D4" s="26" t="s">
        <v>655</v>
      </c>
      <c r="E4" s="26" t="s">
        <v>656</v>
      </c>
    </row>
    <row r="5" customFormat="false" ht="34.5" hidden="false" customHeight="true" outlineLevel="0" collapsed="false">
      <c r="A5" s="25" t="s">
        <v>41</v>
      </c>
      <c r="B5" s="26" t="s">
        <v>42</v>
      </c>
      <c r="C5" s="26" t="s">
        <v>43</v>
      </c>
      <c r="D5" s="26" t="s">
        <v>657</v>
      </c>
      <c r="E5" s="26" t="s">
        <v>658</v>
      </c>
    </row>
    <row r="6" customFormat="false" ht="34.5" hidden="false" customHeight="true" outlineLevel="0" collapsed="false">
      <c r="A6" s="25" t="s">
        <v>44</v>
      </c>
      <c r="B6" s="26" t="s">
        <v>45</v>
      </c>
      <c r="C6" s="26" t="s">
        <v>46</v>
      </c>
      <c r="D6" s="26" t="s">
        <v>659</v>
      </c>
      <c r="E6" s="26" t="s">
        <v>660</v>
      </c>
    </row>
    <row r="7" customFormat="false" ht="23.25" hidden="false" customHeight="true" outlineLevel="0" collapsed="false">
      <c r="A7" s="25" t="s">
        <v>47</v>
      </c>
      <c r="B7" s="26" t="s">
        <v>48</v>
      </c>
      <c r="C7" s="26" t="s">
        <v>49</v>
      </c>
      <c r="D7" s="26" t="s">
        <v>661</v>
      </c>
      <c r="E7" s="26" t="s">
        <v>662</v>
      </c>
    </row>
    <row r="8" customFormat="false" ht="23.25" hidden="false" customHeight="true" outlineLevel="0" collapsed="false">
      <c r="A8" s="25" t="s">
        <v>50</v>
      </c>
      <c r="B8" s="26" t="s">
        <v>51</v>
      </c>
      <c r="C8" s="26" t="s">
        <v>52</v>
      </c>
      <c r="D8" s="26" t="s">
        <v>663</v>
      </c>
      <c r="E8" s="26" t="s">
        <v>664</v>
      </c>
    </row>
    <row r="9" customFormat="false" ht="23.25" hidden="false" customHeight="true" outlineLevel="0" collapsed="false">
      <c r="A9" s="25" t="s">
        <v>53</v>
      </c>
      <c r="B9" s="26" t="s">
        <v>54</v>
      </c>
      <c r="C9" s="26" t="s">
        <v>55</v>
      </c>
      <c r="D9" s="26" t="s">
        <v>665</v>
      </c>
      <c r="E9" s="26" t="s">
        <v>666</v>
      </c>
    </row>
    <row r="10" customFormat="false" ht="23.25" hidden="false" customHeight="true" outlineLevel="0" collapsed="false">
      <c r="A10" s="25" t="s">
        <v>56</v>
      </c>
      <c r="B10" s="26" t="s">
        <v>57</v>
      </c>
      <c r="C10" s="26" t="s">
        <v>58</v>
      </c>
      <c r="D10" s="26" t="s">
        <v>667</v>
      </c>
      <c r="E10" s="26" t="s">
        <v>668</v>
      </c>
    </row>
    <row r="11" customFormat="false" ht="15" hidden="false" customHeight="true" outlineLevel="0" collapsed="false">
      <c r="A11" s="25" t="s">
        <v>59</v>
      </c>
      <c r="B11" s="26" t="s">
        <v>60</v>
      </c>
      <c r="C11" s="26" t="s">
        <v>61</v>
      </c>
      <c r="D11" s="26" t="s">
        <v>669</v>
      </c>
      <c r="E11" s="26" t="s">
        <v>670</v>
      </c>
    </row>
    <row r="12" customFormat="false" ht="15" hidden="false" customHeight="true" outlineLevel="0" collapsed="false">
      <c r="A12" s="25" t="s">
        <v>62</v>
      </c>
      <c r="B12" s="26" t="s">
        <v>63</v>
      </c>
      <c r="C12" s="26" t="s">
        <v>64</v>
      </c>
      <c r="D12" s="26" t="s">
        <v>671</v>
      </c>
      <c r="E12" s="26" t="s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72"/>
    <col collapsed="false" customWidth="true" hidden="false" outlineLevel="0" max="4" min="4" style="1" width="14"/>
    <col collapsed="false" customWidth="true" hidden="false" outlineLevel="0" max="5" min="5" style="1" width="10"/>
  </cols>
  <sheetData>
    <row r="1" customFormat="false" ht="15" hidden="false" customHeight="true" outlineLevel="0" collapsed="false">
      <c r="A1" s="5" t="s">
        <v>673</v>
      </c>
      <c r="B1" s="5" t="s">
        <v>674</v>
      </c>
      <c r="C1" s="5" t="s">
        <v>675</v>
      </c>
      <c r="D1" s="5" t="s">
        <v>432</v>
      </c>
      <c r="E1" s="5" t="s">
        <v>4</v>
      </c>
    </row>
    <row r="2" customFormat="false" ht="15" hidden="false" customHeight="true" outlineLevel="0" collapsed="false">
      <c r="A2" s="26" t="s">
        <v>676</v>
      </c>
      <c r="B2" s="26" t="s">
        <v>677</v>
      </c>
      <c r="C2" s="26" t="s">
        <v>678</v>
      </c>
      <c r="D2" s="26" t="s">
        <v>679</v>
      </c>
      <c r="E2" s="26" t="s">
        <v>680</v>
      </c>
    </row>
    <row r="3" customFormat="false" ht="15" hidden="false" customHeight="true" outlineLevel="0" collapsed="false">
      <c r="A3" s="26" t="s">
        <v>681</v>
      </c>
      <c r="B3" s="26" t="s">
        <v>677</v>
      </c>
      <c r="C3" s="26" t="s">
        <v>682</v>
      </c>
      <c r="D3" s="26" t="s">
        <v>679</v>
      </c>
      <c r="E3" s="26" t="s">
        <v>680</v>
      </c>
    </row>
    <row r="4" customFormat="false" ht="23.25" hidden="false" customHeight="true" outlineLevel="0" collapsed="false">
      <c r="A4" s="26" t="s">
        <v>683</v>
      </c>
      <c r="B4" s="26" t="s">
        <v>677</v>
      </c>
      <c r="C4" s="26" t="s">
        <v>684</v>
      </c>
      <c r="D4" s="26" t="s">
        <v>679</v>
      </c>
      <c r="E4" s="26" t="s">
        <v>680</v>
      </c>
    </row>
    <row r="5" customFormat="false" ht="15" hidden="false" customHeight="true" outlineLevel="0" collapsed="false">
      <c r="A5" s="26" t="s">
        <v>685</v>
      </c>
      <c r="B5" s="26" t="s">
        <v>677</v>
      </c>
      <c r="C5" s="26" t="s">
        <v>686</v>
      </c>
      <c r="D5" s="26" t="s">
        <v>679</v>
      </c>
      <c r="E5" s="26" t="s">
        <v>680</v>
      </c>
    </row>
    <row r="6" customFormat="false" ht="15" hidden="false" customHeight="true" outlineLevel="0" collapsed="false">
      <c r="A6" s="26" t="s">
        <v>687</v>
      </c>
      <c r="B6" s="26" t="s">
        <v>677</v>
      </c>
      <c r="C6" s="26" t="s">
        <v>688</v>
      </c>
      <c r="D6" s="26" t="s">
        <v>679</v>
      </c>
      <c r="E6" s="26" t="s">
        <v>680</v>
      </c>
    </row>
    <row r="7" customFormat="false" ht="15" hidden="false" customHeight="true" outlineLevel="0" collapsed="false">
      <c r="A7" s="26" t="s">
        <v>689</v>
      </c>
      <c r="B7" s="26" t="s">
        <v>677</v>
      </c>
      <c r="C7" s="26" t="s">
        <v>690</v>
      </c>
      <c r="D7" s="26" t="s">
        <v>679</v>
      </c>
      <c r="E7" s="26" t="s">
        <v>680</v>
      </c>
    </row>
    <row r="8" customFormat="false" ht="15" hidden="false" customHeight="true" outlineLevel="0" collapsed="false">
      <c r="A8" s="26" t="s">
        <v>691</v>
      </c>
      <c r="B8" s="26" t="s">
        <v>677</v>
      </c>
      <c r="C8" s="26" t="s">
        <v>692</v>
      </c>
      <c r="D8" s="26" t="s">
        <v>679</v>
      </c>
      <c r="E8" s="26" t="s">
        <v>680</v>
      </c>
    </row>
    <row r="9" customFormat="false" ht="15" hidden="false" customHeight="true" outlineLevel="0" collapsed="false">
      <c r="A9" s="26" t="s">
        <v>693</v>
      </c>
      <c r="B9" s="26" t="s">
        <v>677</v>
      </c>
      <c r="C9" s="26" t="s">
        <v>694</v>
      </c>
      <c r="D9" s="26" t="s">
        <v>679</v>
      </c>
      <c r="E9" s="26" t="s">
        <v>680</v>
      </c>
    </row>
    <row r="10" customFormat="false" ht="15" hidden="false" customHeight="true" outlineLevel="0" collapsed="false">
      <c r="A10" s="26" t="s">
        <v>695</v>
      </c>
      <c r="B10" s="26" t="s">
        <v>696</v>
      </c>
      <c r="C10" s="26" t="s">
        <v>697</v>
      </c>
      <c r="D10" s="26" t="s">
        <v>698</v>
      </c>
      <c r="E10" s="26" t="s">
        <v>699</v>
      </c>
    </row>
    <row r="11" customFormat="false" ht="15" hidden="false" customHeight="true" outlineLevel="0" collapsed="false">
      <c r="A11" s="26" t="s">
        <v>700</v>
      </c>
      <c r="B11" s="26" t="s">
        <v>696</v>
      </c>
      <c r="C11" s="26" t="s">
        <v>701</v>
      </c>
      <c r="D11" s="26" t="s">
        <v>702</v>
      </c>
      <c r="E11" s="26" t="s">
        <v>699</v>
      </c>
    </row>
    <row r="12" customFormat="false" ht="15" hidden="false" customHeight="true" outlineLevel="0" collapsed="false">
      <c r="A12" s="26" t="s">
        <v>703</v>
      </c>
      <c r="B12" s="26" t="s">
        <v>696</v>
      </c>
      <c r="C12" s="26" t="s">
        <v>704</v>
      </c>
      <c r="D12" s="26" t="s">
        <v>705</v>
      </c>
      <c r="E12" s="26" t="s">
        <v>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2026-09-26T05:55:14Z</dcterms:created>
  <dc:creator>openpyxl</dc:creator>
  <dc:description/>
  <dc:language>en-IN</dc:language>
  <cp:lastModifiedBy/>
  <dcterms:modified xsi:type="dcterms:W3CDTF">2026-09-27T09:53:28Z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